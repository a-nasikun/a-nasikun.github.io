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/Users/nasikun/Programming/1. Personal web/a-nasikun.github.io/kurikulum2026/data/"/>
    </mc:Choice>
  </mc:AlternateContent>
  <xr:revisionPtr revIDLastSave="0" documentId="8_{702DCE2E-9437-8B43-835B-E9BB4F8EC3A0}" xr6:coauthVersionLast="47" xr6:coauthVersionMax="47" xr10:uidLastSave="{00000000-0000-0000-0000-000000000000}"/>
  <bookViews>
    <workbookView xWindow="0" yWindow="600" windowWidth="30240" windowHeight="17340" activeTab="1" xr2:uid="{00000000-000D-0000-FFFF-FFFF00000000}"/>
  </bookViews>
  <sheets>
    <sheet name="Sudah diambil" sheetId="7" r:id="rId1"/>
    <sheet name="Kebutuhan Mhs" sheetId="6" r:id="rId2"/>
    <sheet name="Aturan Peralihan" sheetId="3" r:id="rId3"/>
    <sheet name="Data Tambahan" sheetId="4" r:id="rId4"/>
    <sheet name="kuliah_2026.xlsx" sheetId="1" r:id="rId5"/>
    <sheet name="2021 vs 2026" sheetId="2" r:id="rId6"/>
    <sheet name="Capaian Per-Angkatan" sheetId="5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2" i="3" l="1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21" i="3"/>
  <c r="H58" i="6" l="1"/>
  <c r="U55" i="6"/>
  <c r="R54" i="6"/>
  <c r="S63" i="6"/>
  <c r="O56" i="6"/>
  <c r="Q44" i="6"/>
  <c r="M27" i="6"/>
  <c r="W66" i="6"/>
  <c r="W56" i="6"/>
  <c r="W63" i="6"/>
  <c r="V61" i="6"/>
  <c r="S68" i="6"/>
  <c r="O66" i="6"/>
  <c r="S66" i="6"/>
  <c r="N45" i="6"/>
  <c r="R45" i="6" s="1"/>
  <c r="O62" i="6"/>
  <c r="K65" i="6"/>
  <c r="K62" i="6"/>
  <c r="K15" i="6"/>
  <c r="J15" i="6"/>
  <c r="K55" i="6"/>
  <c r="O55" i="6" s="1"/>
  <c r="J55" i="6"/>
  <c r="N55" i="6" s="1"/>
  <c r="K54" i="6"/>
  <c r="O54" i="6" s="1"/>
  <c r="J54" i="6"/>
  <c r="N54" i="6" s="1"/>
  <c r="K53" i="6"/>
  <c r="O53" i="6" s="1"/>
  <c r="J53" i="6"/>
  <c r="N53" i="6" s="1"/>
  <c r="K52" i="6"/>
  <c r="O52" i="6" s="1"/>
  <c r="J52" i="6"/>
  <c r="N52" i="6" s="1"/>
  <c r="K51" i="6"/>
  <c r="O51" i="6" s="1"/>
  <c r="J51" i="6"/>
  <c r="N51" i="6" s="1"/>
  <c r="K50" i="6"/>
  <c r="O50" i="6" s="1"/>
  <c r="J50" i="6"/>
  <c r="N50" i="6" s="1"/>
  <c r="K49" i="6"/>
  <c r="O49" i="6" s="1"/>
  <c r="J49" i="6"/>
  <c r="N49" i="6" s="1"/>
  <c r="K48" i="6"/>
  <c r="O48" i="6" s="1"/>
  <c r="J48" i="6"/>
  <c r="N48" i="6" s="1"/>
  <c r="K47" i="6"/>
  <c r="O47" i="6" s="1"/>
  <c r="J47" i="6"/>
  <c r="N47" i="6" s="1"/>
  <c r="K46" i="6"/>
  <c r="O46" i="6" s="1"/>
  <c r="J46" i="6"/>
  <c r="N46" i="6" s="1"/>
  <c r="J45" i="6"/>
  <c r="K44" i="6"/>
  <c r="J44" i="6"/>
  <c r="K43" i="6"/>
  <c r="J43" i="6"/>
  <c r="K42" i="6"/>
  <c r="J42" i="6"/>
  <c r="K41" i="6"/>
  <c r="J41" i="6"/>
  <c r="K40" i="6"/>
  <c r="J40" i="6"/>
  <c r="K39" i="6"/>
  <c r="J39" i="6"/>
  <c r="K38" i="6"/>
  <c r="J38" i="6"/>
  <c r="K37" i="6"/>
  <c r="J37" i="6"/>
  <c r="K36" i="6"/>
  <c r="J36" i="6"/>
  <c r="K35" i="6"/>
  <c r="J35" i="6"/>
  <c r="K34" i="6"/>
  <c r="J34" i="6"/>
  <c r="K33" i="6"/>
  <c r="J33" i="6"/>
  <c r="K32" i="6"/>
  <c r="J32" i="6"/>
  <c r="K31" i="6"/>
  <c r="J31" i="6"/>
  <c r="K30" i="6"/>
  <c r="J30" i="6"/>
  <c r="K29" i="6"/>
  <c r="J29" i="6"/>
  <c r="K20" i="6"/>
  <c r="J20" i="6"/>
  <c r="K18" i="6"/>
  <c r="J18" i="6"/>
  <c r="K13" i="6"/>
  <c r="J13" i="6"/>
  <c r="J9" i="6"/>
  <c r="O25" i="7"/>
  <c r="M25" i="7"/>
  <c r="J140" i="7"/>
  <c r="J138" i="7"/>
  <c r="J137" i="7"/>
  <c r="K134" i="7"/>
  <c r="J134" i="7"/>
  <c r="K133" i="7"/>
  <c r="J133" i="7"/>
  <c r="K132" i="7"/>
  <c r="J132" i="7"/>
  <c r="K131" i="7"/>
  <c r="J131" i="7"/>
  <c r="J130" i="7"/>
  <c r="J128" i="7"/>
  <c r="J83" i="7"/>
  <c r="J81" i="7"/>
  <c r="J80" i="7"/>
  <c r="K77" i="7"/>
  <c r="J77" i="7"/>
  <c r="K76" i="7"/>
  <c r="J76" i="7"/>
  <c r="K75" i="7"/>
  <c r="J75" i="7"/>
  <c r="K74" i="7"/>
  <c r="K125" i="7" s="1"/>
  <c r="J74" i="7"/>
  <c r="J73" i="7"/>
  <c r="J71" i="7"/>
  <c r="G20" i="7"/>
  <c r="K25" i="7"/>
  <c r="K6" i="7"/>
  <c r="K8" i="7"/>
  <c r="K9" i="7"/>
  <c r="K10" i="7"/>
  <c r="K11" i="7"/>
  <c r="K12" i="7"/>
  <c r="K13" i="7"/>
  <c r="K15" i="7"/>
  <c r="K16" i="7"/>
  <c r="K18" i="7"/>
  <c r="K19" i="7"/>
  <c r="K5" i="7"/>
  <c r="I6" i="7"/>
  <c r="I7" i="7"/>
  <c r="I8" i="7"/>
  <c r="I9" i="7"/>
  <c r="I10" i="7"/>
  <c r="I11" i="7"/>
  <c r="I12" i="7"/>
  <c r="I13" i="7"/>
  <c r="I14" i="7"/>
  <c r="I15" i="7"/>
  <c r="I16" i="7"/>
  <c r="I17" i="7"/>
  <c r="I18" i="7"/>
  <c r="I19" i="7"/>
  <c r="I5" i="7"/>
  <c r="H56" i="6"/>
  <c r="R46" i="6"/>
  <c r="R38" i="6"/>
  <c r="R35" i="6"/>
  <c r="R48" i="6"/>
  <c r="R9" i="6"/>
  <c r="L68" i="5"/>
  <c r="J40" i="7"/>
  <c r="K34" i="7"/>
  <c r="K35" i="7"/>
  <c r="K36" i="7"/>
  <c r="J34" i="7"/>
  <c r="J35" i="7"/>
  <c r="J36" i="7"/>
  <c r="K33" i="7"/>
  <c r="J33" i="7"/>
  <c r="J30" i="7"/>
  <c r="J42" i="7"/>
  <c r="J39" i="7"/>
  <c r="J32" i="7"/>
  <c r="I42" i="5"/>
  <c r="I39" i="5"/>
  <c r="I32" i="5"/>
  <c r="N34" i="6"/>
  <c r="N33" i="6"/>
  <c r="N31" i="6"/>
  <c r="R52" i="6"/>
  <c r="S49" i="6"/>
  <c r="R50" i="6"/>
  <c r="R51" i="6"/>
  <c r="R49" i="6"/>
  <c r="R55" i="6"/>
  <c r="V55" i="6"/>
  <c r="V54" i="6"/>
  <c r="V13" i="6"/>
  <c r="V29" i="6"/>
  <c r="V28" i="6"/>
  <c r="V34" i="6"/>
  <c r="V33" i="6"/>
  <c r="V32" i="6"/>
  <c r="V31" i="6"/>
  <c r="V39" i="6"/>
  <c r="V41" i="6"/>
  <c r="V42" i="6"/>
  <c r="V43" i="6"/>
  <c r="V47" i="6"/>
  <c r="V53" i="6"/>
  <c r="V48" i="6"/>
  <c r="V51" i="6"/>
  <c r="V49" i="6"/>
  <c r="V50" i="6"/>
  <c r="W16" i="6"/>
  <c r="R13" i="6"/>
  <c r="R41" i="6"/>
  <c r="R42" i="6"/>
  <c r="R62" i="6"/>
  <c r="R39" i="6"/>
  <c r="R53" i="6"/>
  <c r="R43" i="6"/>
  <c r="R47" i="6"/>
  <c r="R29" i="6"/>
  <c r="R31" i="6"/>
  <c r="R33" i="6"/>
  <c r="R34" i="6"/>
  <c r="R32" i="6"/>
  <c r="R28" i="6"/>
  <c r="S16" i="6"/>
  <c r="N29" i="6"/>
  <c r="N32" i="6"/>
  <c r="O40" i="6"/>
  <c r="O41" i="6"/>
  <c r="O42" i="6"/>
  <c r="O43" i="6"/>
  <c r="O39" i="6"/>
  <c r="N43" i="6"/>
  <c r="N42" i="6"/>
  <c r="N41" i="6"/>
  <c r="N40" i="6"/>
  <c r="N39" i="6"/>
  <c r="N37" i="6"/>
  <c r="N36" i="6"/>
  <c r="R36" i="6" s="1"/>
  <c r="V36" i="6" s="1"/>
  <c r="N22" i="6"/>
  <c r="R22" i="6" s="1"/>
  <c r="V22" i="6" s="1"/>
  <c r="N44" i="6"/>
  <c r="R44" i="6" s="1"/>
  <c r="V44" i="6" s="1"/>
  <c r="N20" i="6"/>
  <c r="R20" i="6" s="1"/>
  <c r="V20" i="6" s="1"/>
  <c r="N15" i="6"/>
  <c r="R15" i="6" s="1"/>
  <c r="V15" i="6" s="1"/>
  <c r="N25" i="6"/>
  <c r="R25" i="6" s="1"/>
  <c r="V25" i="6" s="1"/>
  <c r="N21" i="6"/>
  <c r="R21" i="6" s="1"/>
  <c r="V21" i="6" s="1"/>
  <c r="N27" i="6"/>
  <c r="R27" i="6" s="1"/>
  <c r="V27" i="6" s="1"/>
  <c r="N18" i="6"/>
  <c r="R18" i="6" s="1"/>
  <c r="V18" i="6" s="1"/>
  <c r="N24" i="6"/>
  <c r="R24" i="6" s="1"/>
  <c r="V24" i="6" s="1"/>
  <c r="N26" i="6"/>
  <c r="R26" i="6" s="1"/>
  <c r="V26" i="6" s="1"/>
  <c r="O16" i="6"/>
  <c r="J28" i="6"/>
  <c r="J27" i="6"/>
  <c r="J26" i="6"/>
  <c r="J25" i="6"/>
  <c r="J24" i="6"/>
  <c r="J23" i="6"/>
  <c r="J22" i="6"/>
  <c r="J17" i="6"/>
  <c r="N17" i="6" s="1"/>
  <c r="R17" i="6" s="1"/>
  <c r="V17" i="6" s="1"/>
  <c r="J14" i="6"/>
  <c r="N14" i="6" s="1"/>
  <c r="R14" i="6" s="1"/>
  <c r="V14" i="6" s="1"/>
  <c r="K16" i="6"/>
  <c r="K56" i="6" s="1"/>
  <c r="J16" i="6"/>
  <c r="N16" i="6" s="1"/>
  <c r="R16" i="6" s="1"/>
  <c r="V16" i="6" s="1"/>
  <c r="J19" i="6"/>
  <c r="N19" i="6" s="1"/>
  <c r="R19" i="6" s="1"/>
  <c r="V19" i="6" s="1"/>
  <c r="D6" i="4"/>
  <c r="D7" i="4"/>
  <c r="D5" i="4"/>
  <c r="C8" i="4"/>
  <c r="W65" i="6" l="1"/>
  <c r="S56" i="6"/>
  <c r="S65" i="6"/>
  <c r="O65" i="6"/>
  <c r="K66" i="6"/>
</calcChain>
</file>

<file path=xl/sharedStrings.xml><?xml version="1.0" encoding="utf-8"?>
<sst xmlns="http://schemas.openxmlformats.org/spreadsheetml/2006/main" count="3588" uniqueCount="405">
  <si>
    <t>Semester</t>
  </si>
  <si>
    <t>No</t>
  </si>
  <si>
    <t>Kode</t>
  </si>
  <si>
    <t>Mata Kuliah</t>
  </si>
  <si>
    <t>Kategori</t>
  </si>
  <si>
    <t>SKS</t>
  </si>
  <si>
    <t>Semester 1</t>
  </si>
  <si>
    <t>FTKXXXXXX</t>
  </si>
  <si>
    <t>Aljabar (Algebra)</t>
  </si>
  <si>
    <t>Basic Science</t>
  </si>
  <si>
    <t>Fisika Dasar (Basic Physics)</t>
  </si>
  <si>
    <t>Kalkulus (Calculus)</t>
  </si>
  <si>
    <t>TIF261101</t>
  </si>
  <si>
    <t>Manajemen Informasi (Information Management)</t>
  </si>
  <si>
    <t>Engineering Topic</t>
  </si>
  <si>
    <t>TKU261101</t>
  </si>
  <si>
    <t>Matematika Diskrit (Discrete Mathematics)</t>
  </si>
  <si>
    <t>TKU261102</t>
  </si>
  <si>
    <t>Pemrograman Dasar (Fundamentals of Programming)</t>
  </si>
  <si>
    <t>TKU261103</t>
  </si>
  <si>
    <t>Probabilitas dan Variabel Acak (Probability and Random Variables)</t>
  </si>
  <si>
    <t>Semester 2</t>
  </si>
  <si>
    <t>FIUxxxxxx</t>
  </si>
  <si>
    <t>Agama (Religion)</t>
  </si>
  <si>
    <t>General Education</t>
  </si>
  <si>
    <t>TKU261201</t>
  </si>
  <si>
    <t>Algoritme dan Struktur Data (Algorithms and Data Structure)</t>
  </si>
  <si>
    <t>TIF261201</t>
  </si>
  <si>
    <t>Arsitektur Komputer (Computer Architectures)</t>
  </si>
  <si>
    <t>TKU261202</t>
  </si>
  <si>
    <t>Kalkulus Variabel Jamak (Multi-Variable Calculus)</t>
  </si>
  <si>
    <t>TKU261102P</t>
  </si>
  <si>
    <t>Praktikum Pemrograman Dasar (Fundamentals of Programming Lab. Work)</t>
  </si>
  <si>
    <t>TKU261203</t>
  </si>
  <si>
    <t>Statistika (Statistics)</t>
  </si>
  <si>
    <t>Konsep Keteknikan untuk Peradaban (Sustainable Future Skills)</t>
  </si>
  <si>
    <t>TIF261202</t>
  </si>
  <si>
    <t>Teknologi Basis Data (Database Technology)</t>
  </si>
  <si>
    <t>Semester 3</t>
  </si>
  <si>
    <t>TKU262101</t>
  </si>
  <si>
    <t>Isyarat dan Sistem (Signals and Systems)</t>
  </si>
  <si>
    <t>TIF262101</t>
  </si>
  <si>
    <t>Jaringan Komputer (Computer Network)</t>
  </si>
  <si>
    <t>TIF262102</t>
  </si>
  <si>
    <t>Kecerdasan Artifisial (Artificial Intelligence)</t>
  </si>
  <si>
    <t>TKU262102</t>
  </si>
  <si>
    <t>Metode Numeris (Numerical Methods)</t>
  </si>
  <si>
    <t>TIF262103</t>
  </si>
  <si>
    <t>Pemrograman Berorientasi Obyek (Object Oriented Programming)</t>
  </si>
  <si>
    <t>TKU262103</t>
  </si>
  <si>
    <t>Persamaan Diferensial (Differential Equations)</t>
  </si>
  <si>
    <t>TKU262104P</t>
  </si>
  <si>
    <t>Praktikum Sains Dasar (Basic Science Lab. Work)</t>
  </si>
  <si>
    <t>TIF262104</t>
  </si>
  <si>
    <t>Sistem Operasi (Operating System)</t>
  </si>
  <si>
    <t>Semester 4</t>
  </si>
  <si>
    <t>TIF262201</t>
  </si>
  <si>
    <t>Komputasi Awan (Cloud Computing)</t>
  </si>
  <si>
    <t>Literasi Kesehatan (Health Literacy)</t>
  </si>
  <si>
    <t>TIF262202</t>
  </si>
  <si>
    <t>Pengembangan Aplikasi Web (Web Application Development)</t>
  </si>
  <si>
    <t>TIF262203</t>
  </si>
  <si>
    <t>Proyek Junior Teknologi Informasi (Information Engineering Junior Project)</t>
  </si>
  <si>
    <t>TIF262204</t>
  </si>
  <si>
    <t>Rekayasa Data (Data Engineering)</t>
  </si>
  <si>
    <t>TIF262205</t>
  </si>
  <si>
    <t>Rekayasa Perangkat Lunak (Software Engineering)</t>
  </si>
  <si>
    <t>TIF262206</t>
  </si>
  <si>
    <t>Sistem Terdistribusi (Distributing Systems)</t>
  </si>
  <si>
    <t>TIF262207</t>
  </si>
  <si>
    <t>Teknik Pemodelan dan Simulasi (Modelling and Simulation)</t>
  </si>
  <si>
    <t>Semester 5</t>
  </si>
  <si>
    <t>Bahasa Indonesia (Bahasa Indonesia)</t>
  </si>
  <si>
    <t>TIF263101</t>
  </si>
  <si>
    <t>Desain Sistem (System Design)</t>
  </si>
  <si>
    <t>TIF263102</t>
  </si>
  <si>
    <t>Keamanan Siber (Cybersecurity)</t>
  </si>
  <si>
    <t>TKU263101</t>
  </si>
  <si>
    <t>Kerja Praktik / Magang Industri (Internship)</t>
  </si>
  <si>
    <t>Kewarganegaraan (Civics)</t>
  </si>
  <si>
    <t>Pancasila (Pancasila)</t>
  </si>
  <si>
    <t>TIF263103</t>
  </si>
  <si>
    <t>Proyek Senior Teknologi Informasi (Information Engineering Senior Project)</t>
  </si>
  <si>
    <t>TIF263104</t>
  </si>
  <si>
    <t>Teknik Visualisasi Grafis (Graphical Visualization Engineering)</t>
  </si>
  <si>
    <t>Semester 6</t>
  </si>
  <si>
    <t>Mata Kuliah Pilihan (Pendalaman Prodi)</t>
  </si>
  <si>
    <t>Semester 7</t>
  </si>
  <si>
    <t>Humaniora Digital (Digital Humanities)</t>
  </si>
  <si>
    <t>TIF264101</t>
  </si>
  <si>
    <t>Interaksi Manusia dan Komputer (Human Computer Interaction)</t>
  </si>
  <si>
    <t>UNUxxxx</t>
  </si>
  <si>
    <t>Kewirausahaan Teknologi (Technology Entrepreneurship)</t>
  </si>
  <si>
    <t>Komunikasi Masyarakat (Public Communication)</t>
  </si>
  <si>
    <t>Kuliah Kerja Nyata (Field Study and Community Service)</t>
  </si>
  <si>
    <t>Penerapan Teknologi Tepat Guna (Appropriate Technology Application)</t>
  </si>
  <si>
    <t>TKUXXXX</t>
  </si>
  <si>
    <t>Proyek Individual (Individual Project)</t>
  </si>
  <si>
    <t>TIF264102</t>
  </si>
  <si>
    <t>Proyek Perancangan Teknologi Informasi 1 (Capstone Design Project 1)</t>
  </si>
  <si>
    <t>Semester 8</t>
  </si>
  <si>
    <t>TIF264201</t>
  </si>
  <si>
    <t>Proyek Perancangan Teknologi Informasi 2 (Capstone Design Project 2)</t>
  </si>
  <si>
    <t>UNUxxxxx</t>
  </si>
  <si>
    <t>Studium Generale (Studium Generale)</t>
  </si>
  <si>
    <t>Aljabar</t>
  </si>
  <si>
    <t>Algebra</t>
  </si>
  <si>
    <t>Fisika Dasar</t>
  </si>
  <si>
    <t>Kalkulus</t>
  </si>
  <si>
    <t>Manajemen Informasi</t>
  </si>
  <si>
    <t>Matematika Diskrit</t>
  </si>
  <si>
    <t>Pemrograman Dasar</t>
  </si>
  <si>
    <t>Probabilitas dan Variabel Acak</t>
  </si>
  <si>
    <t>Agama</t>
  </si>
  <si>
    <t>Algoritme dan Struktur Data</t>
  </si>
  <si>
    <t>Arsitektur Komputer</t>
  </si>
  <si>
    <t>Kalkulus Variabel Jamak</t>
  </si>
  <si>
    <t>Praktikum Pemrograman Dasar</t>
  </si>
  <si>
    <t>Statistika</t>
  </si>
  <si>
    <t>Konsep Keteknikan untuk Peradaban</t>
  </si>
  <si>
    <t>Teknologi Basis Data</t>
  </si>
  <si>
    <t>Isyarat dan Sistem</t>
  </si>
  <si>
    <t>Jaringan Komputer</t>
  </si>
  <si>
    <t>Kecerdasan Artifisial</t>
  </si>
  <si>
    <t>Metode Numeris</t>
  </si>
  <si>
    <t>Pemrograman Berorientasi Obyek</t>
  </si>
  <si>
    <t>Persamaan Diferensial</t>
  </si>
  <si>
    <t>Praktikum Sains Dasar</t>
  </si>
  <si>
    <t>Sistem Operasi</t>
  </si>
  <si>
    <t>Komputasi Awan</t>
  </si>
  <si>
    <t>Literasi Kesehatan</t>
  </si>
  <si>
    <t>Pengembangan Aplikasi Web</t>
  </si>
  <si>
    <t>Proyek Junior Teknologi Informasi</t>
  </si>
  <si>
    <t>Rekayasa Data</t>
  </si>
  <si>
    <t>Rekayasa Perangkat Lunak</t>
  </si>
  <si>
    <t>Sistem Terdistribusi</t>
  </si>
  <si>
    <t>Teknik Pemodelan dan Simulasi</t>
  </si>
  <si>
    <t>Bahasa Indonesia</t>
  </si>
  <si>
    <t>Desain Sistem</t>
  </si>
  <si>
    <t>Keamanan Siber</t>
  </si>
  <si>
    <t>Kerja Praktik / Magang Industri</t>
  </si>
  <si>
    <t>Kewarganegaraan</t>
  </si>
  <si>
    <t>Pancasila</t>
  </si>
  <si>
    <t>Proyek Senior Teknologi Informasi</t>
  </si>
  <si>
    <t>Teknik Visualisasi Grafis</t>
  </si>
  <si>
    <t>Mata Kuliah Pilihan</t>
  </si>
  <si>
    <t>Humaniora Digital</t>
  </si>
  <si>
    <t>Interaksi Manusia dan Komputer</t>
  </si>
  <si>
    <t>Kewirausahaan Teknologi</t>
  </si>
  <si>
    <t>Komunikasi Masyarakat</t>
  </si>
  <si>
    <t>Kuliah Kerja Nyata</t>
  </si>
  <si>
    <t>Penerapan Teknologi Tepat Guna</t>
  </si>
  <si>
    <t>Proyek Individual</t>
  </si>
  <si>
    <t>Proyek Perancangan Teknologi Informasi 1</t>
  </si>
  <si>
    <t>Proyek Perancangan Teknologi Informasi 2</t>
  </si>
  <si>
    <t>Studium Generale</t>
  </si>
  <si>
    <t>Basic Physics</t>
  </si>
  <si>
    <t>Calculus</t>
  </si>
  <si>
    <t>Information Management</t>
  </si>
  <si>
    <t>Discrete Mathematics</t>
  </si>
  <si>
    <t>Fundamentals of Programming</t>
  </si>
  <si>
    <t>Probability and Random Variables</t>
  </si>
  <si>
    <t>Religion</t>
  </si>
  <si>
    <t>Algorithms and Data Structure</t>
  </si>
  <si>
    <t>Computer Architectures</t>
  </si>
  <si>
    <t>Multi-Variable Calculus</t>
  </si>
  <si>
    <t>Fundamentals of Programming Lab. Work</t>
  </si>
  <si>
    <t>Statistics</t>
  </si>
  <si>
    <t>Sustainable Future Skills</t>
  </si>
  <si>
    <t>Database Technology</t>
  </si>
  <si>
    <t>Signals and Systems</t>
  </si>
  <si>
    <t>Computer Network</t>
  </si>
  <si>
    <t>Artificial Intelligence</t>
  </si>
  <si>
    <t>Numerical Methods</t>
  </si>
  <si>
    <t>Object Oriented Programming</t>
  </si>
  <si>
    <t>Differential Equations</t>
  </si>
  <si>
    <t>Basic Science Lab. Work</t>
  </si>
  <si>
    <t>Operating System</t>
  </si>
  <si>
    <t>Cloud Computing</t>
  </si>
  <si>
    <t>Health Literacy</t>
  </si>
  <si>
    <t>Web Application Development</t>
  </si>
  <si>
    <t>Information Engineering Junior Project</t>
  </si>
  <si>
    <t>Data Engineering</t>
  </si>
  <si>
    <t>Software Engineering</t>
  </si>
  <si>
    <t>Distributing Systems</t>
  </si>
  <si>
    <t>Modelling and Simulation</t>
  </si>
  <si>
    <t>System Design</t>
  </si>
  <si>
    <t>Cybersecurity</t>
  </si>
  <si>
    <t>Internship</t>
  </si>
  <si>
    <t>Civics</t>
  </si>
  <si>
    <t>Information Engineering Senior Project</t>
  </si>
  <si>
    <t>Graphical Visualization Engineering</t>
  </si>
  <si>
    <t>Pendalaman Prodi</t>
  </si>
  <si>
    <t>Digital Humanities</t>
  </si>
  <si>
    <t>Human Computer Interaction</t>
  </si>
  <si>
    <t>Technology Entrepreneurship</t>
  </si>
  <si>
    <t>Public Communication</t>
  </si>
  <si>
    <t>Field Study and Community Service</t>
  </si>
  <si>
    <t>Appropriate Technology Application</t>
  </si>
  <si>
    <t>Individual Project</t>
  </si>
  <si>
    <t>Capstone Design Project 1</t>
  </si>
  <si>
    <t>Capstone Design Project 2</t>
  </si>
  <si>
    <t>Integrasi Aplikasi dan Informasi (Application and Information Integration)</t>
  </si>
  <si>
    <t>Kualitas Perangkat Lunak (Software Quality)</t>
  </si>
  <si>
    <t>Pengembangan Aplikasi Permainan (Game Development)</t>
  </si>
  <si>
    <t>Pengembangan Aplikasi Piranti Bergerak (Mobile App Development)</t>
  </si>
  <si>
    <t>Pengujian Perangkat Lunak (Software Testing)</t>
  </si>
  <si>
    <t>TIK dan Masyarakat (Information and Communication Technology in Society)</t>
  </si>
  <si>
    <t>Transformasi Digital (Digital Transformation)</t>
  </si>
  <si>
    <t>Forensik Digital (Digital Forensics)</t>
  </si>
  <si>
    <t>Keamanan dan Integritas Data (Data Security and Integrity)</t>
  </si>
  <si>
    <t>Peretasan Beretika (Security Analysis)</t>
  </si>
  <si>
    <t>Sistem Berbasis Internet of Things (Internet of Things (IoT) Systems)</t>
  </si>
  <si>
    <t>Teknologi Blockchain (Blockchain Technology)</t>
  </si>
  <si>
    <t>Big Data dan Analitik (Big Data and Analytics)</t>
  </si>
  <si>
    <t>Pembelajaran Dalam (Deep Learning)</t>
  </si>
  <si>
    <t>Pemrosesan Bahasa Alami (Natural Language Processing)</t>
  </si>
  <si>
    <t>Pengolahan Citra dan Visi Komputer (Image Processing and Computer Vision)</t>
  </si>
  <si>
    <t>Sistem Pendukung Keputusan (Decision Support Systems)</t>
  </si>
  <si>
    <t>Industrial Critical Thinking: Observation</t>
  </si>
  <si>
    <t>Industrial Critical Thinking: Analysis</t>
  </si>
  <si>
    <t>Industrial Critical Thinking: Inference</t>
  </si>
  <si>
    <t>Industrial Critical Thinking: Communication</t>
  </si>
  <si>
    <t>Industrial Critical Thinking: Problem Solving</t>
  </si>
  <si>
    <t>Industrial Creative Thinking</t>
  </si>
  <si>
    <t>Exchange Experience-Ax</t>
  </si>
  <si>
    <t>Exchange Experience-Bx</t>
  </si>
  <si>
    <t>Exchange ExperienceCx-</t>
  </si>
  <si>
    <t>Konsentrasi / Jalur Karir</t>
  </si>
  <si>
    <t>Software Engineer</t>
  </si>
  <si>
    <t>TIF265111</t>
  </si>
  <si>
    <t>Integrasi Aplikasi dan Informasi</t>
  </si>
  <si>
    <t>Application and Information Integration</t>
  </si>
  <si>
    <t>TIF265112</t>
  </si>
  <si>
    <t>Kualitas Perangkat Lunak</t>
  </si>
  <si>
    <t>Software Quality</t>
  </si>
  <si>
    <t>TIF265113</t>
  </si>
  <si>
    <t>Pengembangan Aplikasi Permainan</t>
  </si>
  <si>
    <t>Game Development</t>
  </si>
  <si>
    <t>TIF265114</t>
  </si>
  <si>
    <t>Pengembangan Aplikasi Piranti Bergerak</t>
  </si>
  <si>
    <t>Mobile App Development</t>
  </si>
  <si>
    <t>TIF265115</t>
  </si>
  <si>
    <t>Pengujian Perangkat Lunak</t>
  </si>
  <si>
    <t>Software Testing</t>
  </si>
  <si>
    <t>TIK dan Masyarakat</t>
  </si>
  <si>
    <t>Information and Communication Technology in Society</t>
  </si>
  <si>
    <t>Transformasi Digital</t>
  </si>
  <si>
    <t>Digital Transformation</t>
  </si>
  <si>
    <t>Network and Security Engineer</t>
  </si>
  <si>
    <t>TIF265121</t>
  </si>
  <si>
    <t>Forensik Digital</t>
  </si>
  <si>
    <t>Digital Forensics</t>
  </si>
  <si>
    <t>TIF265122</t>
  </si>
  <si>
    <t>Keamanan dan Integritas Data</t>
  </si>
  <si>
    <t>Data Security and Integrity</t>
  </si>
  <si>
    <t>TIF265123</t>
  </si>
  <si>
    <t>Peretasan Beretika</t>
  </si>
  <si>
    <t>Security Analysis</t>
  </si>
  <si>
    <t>TIF265124</t>
  </si>
  <si>
    <t>Sistem Berbasis Internet of Things (Internet of Things</t>
  </si>
  <si>
    <t>Internet of Things (IoT) Systems</t>
  </si>
  <si>
    <t>TIF265125</t>
  </si>
  <si>
    <t>Teknologi Blockchain</t>
  </si>
  <si>
    <t>Blockchain Technology</t>
  </si>
  <si>
    <t>Data Engineer</t>
  </si>
  <si>
    <t>TIF265131</t>
  </si>
  <si>
    <t>Big Data dan Analitik</t>
  </si>
  <si>
    <t>Big Data and Analytics</t>
  </si>
  <si>
    <t>TIF265132</t>
  </si>
  <si>
    <t>Pembelajaran Dalam</t>
  </si>
  <si>
    <t>Deep Learning</t>
  </si>
  <si>
    <t>TIF265133</t>
  </si>
  <si>
    <t>Pemrosesan Bahasa Alami</t>
  </si>
  <si>
    <t>Natural Language Processing</t>
  </si>
  <si>
    <t>TIF265134</t>
  </si>
  <si>
    <t>Pengolahan Citra dan Visi Komputer</t>
  </si>
  <si>
    <t>Image Processing and Computer Vision</t>
  </si>
  <si>
    <t>TIF265135</t>
  </si>
  <si>
    <t>Sistem Pendukung Keputusan</t>
  </si>
  <si>
    <t>Decision Support Systems</t>
  </si>
  <si>
    <t>Industrial Experience</t>
  </si>
  <si>
    <t>Exchange Experience</t>
  </si>
  <si>
    <t>Course Name</t>
  </si>
  <si>
    <t>TKU211101</t>
  </si>
  <si>
    <t>Kalkulus Variabel Tunggal</t>
  </si>
  <si>
    <t>TKU211102</t>
  </si>
  <si>
    <t>TKU211104</t>
  </si>
  <si>
    <t>Teori Vektor dan Matriks</t>
  </si>
  <si>
    <t>TKU211121</t>
  </si>
  <si>
    <t>Fisika Mekanika Klasik</t>
  </si>
  <si>
    <t>TKU211122</t>
  </si>
  <si>
    <t>Fisika Fluida, Kalor dan Gelombang</t>
  </si>
  <si>
    <t>TKU211131</t>
  </si>
  <si>
    <t>UNU215101</t>
  </si>
  <si>
    <t>Manajemen Industri</t>
  </si>
  <si>
    <t>FIU211201</t>
  </si>
  <si>
    <t>TKU211103</t>
  </si>
  <si>
    <t>TKU211201</t>
  </si>
  <si>
    <t>Analisis Variabel Kompleks</t>
  </si>
  <si>
    <t>TKU211202</t>
  </si>
  <si>
    <t>Aljabar Linear</t>
  </si>
  <si>
    <t>TKU211211</t>
  </si>
  <si>
    <t>TKU211221</t>
  </si>
  <si>
    <t>Fisika Listrik dan Magnet</t>
  </si>
  <si>
    <t>TKU211231</t>
  </si>
  <si>
    <t>TKU211131P</t>
  </si>
  <si>
    <t>TKU211203</t>
  </si>
  <si>
    <t>TKU212101</t>
  </si>
  <si>
    <t>TKU212111</t>
  </si>
  <si>
    <t>TKU212121P</t>
  </si>
  <si>
    <t>TKU212141</t>
  </si>
  <si>
    <t>TIF212142</t>
  </si>
  <si>
    <t>Komunikasi Data dan Komputer</t>
  </si>
  <si>
    <t>TIF212143</t>
  </si>
  <si>
    <t>TIF212144</t>
  </si>
  <si>
    <t>TKU212241</t>
  </si>
  <si>
    <t>Medan Elektromagnetik</t>
  </si>
  <si>
    <t>TIF212242</t>
  </si>
  <si>
    <t>TIF212243</t>
  </si>
  <si>
    <t>Sistem Berbasis Mikroprosesor</t>
  </si>
  <si>
    <t>TIF212244</t>
  </si>
  <si>
    <t>Kecerdasan Buatan</t>
  </si>
  <si>
    <t>TIF212245</t>
  </si>
  <si>
    <t>TIF212246</t>
  </si>
  <si>
    <t>TIF212247</t>
  </si>
  <si>
    <t>TKU213143</t>
  </si>
  <si>
    <t>Kerja Praktik</t>
  </si>
  <si>
    <t>TIF213141</t>
  </si>
  <si>
    <t>TIF213142</t>
  </si>
  <si>
    <t>TIF213144</t>
  </si>
  <si>
    <t>TIF213145</t>
  </si>
  <si>
    <t>TIF213146</t>
  </si>
  <si>
    <t>TIF213147</t>
  </si>
  <si>
    <t>TIF213148</t>
  </si>
  <si>
    <t>TIF213241</t>
  </si>
  <si>
    <t>TIF213242</t>
  </si>
  <si>
    <t>TIF213243</t>
  </si>
  <si>
    <t>Keamanan Komputer</t>
  </si>
  <si>
    <t>TIF213244</t>
  </si>
  <si>
    <t>FIU213101</t>
  </si>
  <si>
    <t>UNU211101</t>
  </si>
  <si>
    <t>Bahasa Indonesia dan Penulisan Ilmiah</t>
  </si>
  <si>
    <t>UNU214202</t>
  </si>
  <si>
    <t>FIU21210x</t>
  </si>
  <si>
    <t>UNU222001</t>
  </si>
  <si>
    <t>UNU222002</t>
  </si>
  <si>
    <t>UNU222003</t>
  </si>
  <si>
    <t>UNU214102</t>
  </si>
  <si>
    <t>TIF214141</t>
  </si>
  <si>
    <t>TIF2151xx</t>
  </si>
  <si>
    <t>Mata Kuliah Pilihan A (Jalur Karir)</t>
  </si>
  <si>
    <t>UNU214201</t>
  </si>
  <si>
    <t>TKU214241</t>
  </si>
  <si>
    <t>Skripsi &amp; Pendadaran</t>
  </si>
  <si>
    <t>TIF2152xx</t>
  </si>
  <si>
    <t>Mata Kuliah Pilihan B</t>
  </si>
  <si>
    <t>Fisika Fluida, Kalor, dan Gelombang</t>
  </si>
  <si>
    <t>Beda SKS</t>
  </si>
  <si>
    <t>Pindah Waktu</t>
  </si>
  <si>
    <t>Baru</t>
  </si>
  <si>
    <t>Kewarganegaran</t>
  </si>
  <si>
    <t>Skripsi dan Pendadaran</t>
  </si>
  <si>
    <t>Proyek Indivisual</t>
  </si>
  <si>
    <t>Hilang</t>
  </si>
  <si>
    <t>Sistem Terdisktribusi</t>
  </si>
  <si>
    <t>(Menjadi pilihan konsentrasi)</t>
  </si>
  <si>
    <t>Sains Dasar</t>
  </si>
  <si>
    <t>Pendididkan Umum</t>
  </si>
  <si>
    <t>Persentase</t>
  </si>
  <si>
    <t>KURIKULUM 2021</t>
  </si>
  <si>
    <t>KURIKULUM 2026</t>
  </si>
  <si>
    <t>ANGKATAN 2025</t>
  </si>
  <si>
    <t>SUDAH DIAMBIL</t>
  </si>
  <si>
    <t>&lt;&lt; Tambahan &gt;&gt;</t>
  </si>
  <si>
    <t>Pemroograman Dasar</t>
  </si>
  <si>
    <t>ANGKATAN 2024</t>
  </si>
  <si>
    <t>Perlu diadakan di semester genap 2026</t>
  </si>
  <si>
    <t>Diadakan di semester gasal 2026</t>
  </si>
  <si>
    <t>Diadakan di semester gasal 2026 (2 kelas: 2024 dan 2025)</t>
  </si>
  <si>
    <t>ANGKATAN 2023</t>
  </si>
  <si>
    <t>Interaksi Manusia Komputer</t>
  </si>
  <si>
    <t>Pilihan A</t>
  </si>
  <si>
    <t>Utama | baru, sehingga adik2 belum ambil</t>
  </si>
  <si>
    <t>Sistem Berbasis Internet of Things</t>
  </si>
  <si>
    <t>ANGKATAN 2022</t>
  </si>
  <si>
    <t>Angkatan 2025</t>
  </si>
  <si>
    <t>Angkatan 2023</t>
  </si>
  <si>
    <t>Angkatan 2024</t>
  </si>
  <si>
    <t>Angkatan 2022</t>
  </si>
  <si>
    <t>Mata Kuilah</t>
  </si>
  <si>
    <t>Mata Kuliah Pilihan (A dan B)</t>
  </si>
  <si>
    <t>Desain Sistem*</t>
  </si>
  <si>
    <t>Wajib</t>
  </si>
  <si>
    <t>Pilihan</t>
  </si>
  <si>
    <t>Sem</t>
  </si>
  <si>
    <t>Matkul</t>
  </si>
  <si>
    <t>Kurikulum 2026</t>
  </si>
  <si>
    <t>Penyetaraan di 2026</t>
  </si>
  <si>
    <t>Fisika Fluika, Kalor dan Gelombang</t>
  </si>
  <si>
    <t>Sudah diambil</t>
  </si>
  <si>
    <t>Total</t>
  </si>
  <si>
    <t>Total sudah ambil</t>
  </si>
  <si>
    <t>Lulus dengan (SKS)</t>
  </si>
  <si>
    <t>semester gasal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</si>
</sst>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theme="0"/>
      <name val="Arial"/>
      <family val="2"/>
      <scheme val="minor"/>
    </font>
    <font>
      <sz val="8"/>
      <name val="Arial"/>
      <family val="2"/>
      <scheme val="minor"/>
    </font>
    <font>
      <b/>
      <sz val="10"/>
      <color theme="9" tint="0.79998168889431442"/>
      <name val="Arial"/>
      <family val="2"/>
      <scheme val="minor"/>
    </font>
    <font>
      <b/>
      <sz val="10"/>
      <color theme="2"/>
      <name val="Arial"/>
      <family val="2"/>
      <scheme val="minor"/>
    </font>
    <font>
      <b/>
      <sz val="17"/>
      <color rgb="FF000000"/>
      <name val="Arial"/>
      <family val="2"/>
      <scheme val="minor"/>
    </font>
    <font>
      <b/>
      <sz val="17"/>
      <name val="Arial"/>
      <family val="2"/>
      <scheme val="minor"/>
    </font>
    <font>
      <sz val="10"/>
      <color theme="0"/>
      <name val="Arial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D1F1DA"/>
        <bgColor rgb="FF000000"/>
      </patternFill>
    </fill>
    <fill>
      <patternFill patternType="solid">
        <fgColor rgb="FFFEF2CD"/>
        <bgColor rgb="FF000000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42"/>
        <bgColor rgb="FF000000"/>
      </patternFill>
    </fill>
    <fill>
      <patternFill patternType="solid">
        <fgColor theme="8" tint="0.79998168889431442"/>
        <bgColor rgb="FF000000"/>
      </patternFill>
    </fill>
    <fill>
      <patternFill patternType="solid">
        <fgColor theme="4" tint="0.59999389629810485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79998168889431442"/>
        <bgColor rgb="FF000000"/>
      </patternFill>
    </fill>
    <fill>
      <patternFill patternType="solid">
        <fgColor theme="5" tint="0.39997558519241921"/>
        <bgColor rgb="FF00000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rgb="FF00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A5F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0">
    <xf numFmtId="0" fontId="0" fillId="0" borderId="0" xfId="0"/>
    <xf numFmtId="0" fontId="2" fillId="0" borderId="0" xfId="0" applyFont="1"/>
    <xf numFmtId="0" fontId="1" fillId="2" borderId="1" xfId="0" applyFont="1" applyFill="1" applyBorder="1"/>
    <xf numFmtId="0" fontId="1" fillId="3" borderId="1" xfId="0" applyFont="1" applyFill="1" applyBorder="1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0" fillId="0" borderId="0" xfId="0" applyAlignment="1">
      <alignment vertical="center"/>
    </xf>
    <xf numFmtId="0" fontId="2" fillId="0" borderId="1" xfId="0" applyFont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0" fontId="1" fillId="5" borderId="1" xfId="0" applyFont="1" applyFill="1" applyBorder="1" applyAlignment="1">
      <alignment vertical="center"/>
    </xf>
    <xf numFmtId="0" fontId="1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vertical="center"/>
    </xf>
    <xf numFmtId="0" fontId="1" fillId="6" borderId="1" xfId="0" applyFont="1" applyFill="1" applyBorder="1" applyAlignment="1">
      <alignment vertical="center"/>
    </xf>
    <xf numFmtId="0" fontId="1" fillId="6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0" fillId="2" borderId="1" xfId="0" applyFill="1" applyBorder="1" applyAlignment="1">
      <alignment vertical="center"/>
    </xf>
    <xf numFmtId="0" fontId="3" fillId="7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3" borderId="1" xfId="0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0" fillId="9" borderId="1" xfId="0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vertical="center" wrapText="1"/>
    </xf>
    <xf numFmtId="0" fontId="5" fillId="10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2" fillId="4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horizontal="center" vertical="center"/>
    </xf>
    <xf numFmtId="0" fontId="6" fillId="11" borderId="0" xfId="0" applyFont="1" applyFill="1" applyAlignment="1">
      <alignment horizontal="center" vertical="center"/>
    </xf>
    <xf numFmtId="0" fontId="2" fillId="2" borderId="0" xfId="0" applyFont="1" applyFill="1"/>
    <xf numFmtId="0" fontId="2" fillId="2" borderId="1" xfId="0" applyFont="1" applyFill="1" applyBorder="1"/>
    <xf numFmtId="0" fontId="0" fillId="2" borderId="1" xfId="0" applyFill="1" applyBorder="1"/>
    <xf numFmtId="10" fontId="0" fillId="2" borderId="1" xfId="0" applyNumberFormat="1" applyFill="1" applyBorder="1"/>
    <xf numFmtId="0" fontId="2" fillId="12" borderId="1" xfId="0" applyFont="1" applyFill="1" applyBorder="1"/>
    <xf numFmtId="0" fontId="2" fillId="12" borderId="4" xfId="0" applyFont="1" applyFill="1" applyBorder="1" applyAlignment="1">
      <alignment horizontal="center"/>
    </xf>
    <xf numFmtId="0" fontId="2" fillId="12" borderId="4" xfId="0" applyFont="1" applyFill="1" applyBorder="1"/>
    <xf numFmtId="0" fontId="2" fillId="12" borderId="3" xfId="0" applyFont="1" applyFill="1" applyBorder="1"/>
    <xf numFmtId="0" fontId="2" fillId="12" borderId="5" xfId="0" applyFont="1" applyFill="1" applyBorder="1" applyAlignment="1">
      <alignment horizontal="center"/>
    </xf>
    <xf numFmtId="0" fontId="2" fillId="12" borderId="5" xfId="0" applyFont="1" applyFill="1" applyBorder="1"/>
    <xf numFmtId="0" fontId="2" fillId="13" borderId="3" xfId="0" applyFont="1" applyFill="1" applyBorder="1"/>
    <xf numFmtId="0" fontId="2" fillId="13" borderId="5" xfId="0" applyFont="1" applyFill="1" applyBorder="1" applyAlignment="1">
      <alignment horizontal="center"/>
    </xf>
    <xf numFmtId="0" fontId="2" fillId="13" borderId="5" xfId="0" applyFont="1" applyFill="1" applyBorder="1"/>
    <xf numFmtId="0" fontId="3" fillId="14" borderId="1" xfId="0" applyFont="1" applyFill="1" applyBorder="1" applyAlignment="1">
      <alignment horizontal="center" vertical="center"/>
    </xf>
    <xf numFmtId="0" fontId="3" fillId="11" borderId="0" xfId="0" applyFont="1" applyFill="1" applyAlignment="1">
      <alignment horizontal="center" vertical="center"/>
    </xf>
    <xf numFmtId="0" fontId="2" fillId="15" borderId="1" xfId="0" applyFont="1" applyFill="1" applyBorder="1"/>
    <xf numFmtId="0" fontId="2" fillId="16" borderId="1" xfId="0" applyFont="1" applyFill="1" applyBorder="1"/>
    <xf numFmtId="0" fontId="0" fillId="5" borderId="1" xfId="0" applyFill="1" applyBorder="1"/>
    <xf numFmtId="0" fontId="2" fillId="15" borderId="6" xfId="0" applyFont="1" applyFill="1" applyBorder="1"/>
    <xf numFmtId="0" fontId="0" fillId="2" borderId="6" xfId="0" applyFill="1" applyBorder="1"/>
    <xf numFmtId="0" fontId="2" fillId="17" borderId="1" xfId="0" applyFont="1" applyFill="1" applyBorder="1"/>
    <xf numFmtId="0" fontId="0" fillId="18" borderId="1" xfId="0" applyFill="1" applyBorder="1"/>
    <xf numFmtId="0" fontId="2" fillId="18" borderId="1" xfId="0" applyFont="1" applyFill="1" applyBorder="1"/>
    <xf numFmtId="0" fontId="2" fillId="19" borderId="1" xfId="0" applyFont="1" applyFill="1" applyBorder="1"/>
    <xf numFmtId="0" fontId="0" fillId="3" borderId="1" xfId="0" applyFill="1" applyBorder="1"/>
    <xf numFmtId="0" fontId="2" fillId="20" borderId="1" xfId="0" applyFont="1" applyFill="1" applyBorder="1"/>
    <xf numFmtId="0" fontId="0" fillId="21" borderId="1" xfId="0" applyFill="1" applyBorder="1"/>
    <xf numFmtId="0" fontId="2" fillId="22" borderId="1" xfId="0" applyFont="1" applyFill="1" applyBorder="1"/>
    <xf numFmtId="0" fontId="0" fillId="6" borderId="1" xfId="0" applyFill="1" applyBorder="1"/>
    <xf numFmtId="0" fontId="3" fillId="7" borderId="0" xfId="0" applyFont="1" applyFill="1" applyAlignment="1">
      <alignment horizontal="center" vertical="center"/>
    </xf>
    <xf numFmtId="0" fontId="2" fillId="23" borderId="1" xfId="0" applyFont="1" applyFill="1" applyBorder="1"/>
    <xf numFmtId="0" fontId="0" fillId="23" borderId="1" xfId="0" applyFill="1" applyBorder="1"/>
    <xf numFmtId="0" fontId="3" fillId="7" borderId="7" xfId="0" applyFont="1" applyFill="1" applyBorder="1" applyAlignment="1">
      <alignment horizontal="center" vertical="center"/>
    </xf>
    <xf numFmtId="0" fontId="1" fillId="18" borderId="1" xfId="0" applyFont="1" applyFill="1" applyBorder="1" applyAlignment="1">
      <alignment vertical="center"/>
    </xf>
    <xf numFmtId="0" fontId="0" fillId="2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2" fillId="0" borderId="0" xfId="0" applyFont="1" applyAlignment="1">
      <alignment wrapText="1"/>
    </xf>
    <xf numFmtId="0" fontId="3" fillId="7" borderId="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0" borderId="0" xfId="0" applyAlignment="1">
      <alignment wrapText="1"/>
    </xf>
    <xf numFmtId="0" fontId="0" fillId="6" borderId="1" xfId="0" applyFill="1" applyBorder="1" applyAlignment="1">
      <alignment wrapText="1"/>
    </xf>
    <xf numFmtId="0" fontId="2" fillId="23" borderId="1" xfId="0" applyFont="1" applyFill="1" applyBorder="1" applyAlignment="1">
      <alignment wrapText="1"/>
    </xf>
    <xf numFmtId="0" fontId="0" fillId="2" borderId="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wrapText="1"/>
    </xf>
    <xf numFmtId="0" fontId="0" fillId="2" borderId="0" xfId="0" applyFill="1" applyAlignment="1">
      <alignment horizontal="center" vertical="center"/>
    </xf>
    <xf numFmtId="0" fontId="0" fillId="18" borderId="1" xfId="0" applyFill="1" applyBorder="1" applyAlignment="1">
      <alignment horizontal="center"/>
    </xf>
    <xf numFmtId="0" fontId="0" fillId="18" borderId="1" xfId="0" applyFill="1" applyBorder="1" applyAlignment="1">
      <alignment horizontal="center" vertical="center"/>
    </xf>
    <xf numFmtId="0" fontId="0" fillId="5" borderId="1" xfId="0" applyFill="1" applyBorder="1" applyAlignment="1">
      <alignment wrapText="1"/>
    </xf>
    <xf numFmtId="0" fontId="0" fillId="5" borderId="1" xfId="0" applyFill="1" applyBorder="1" applyAlignment="1">
      <alignment horizontal="center" vertical="center"/>
    </xf>
    <xf numFmtId="0" fontId="3" fillId="14" borderId="0" xfId="0" applyFont="1" applyFill="1" applyAlignment="1">
      <alignment horizontal="center" vertical="center"/>
    </xf>
    <xf numFmtId="0" fontId="2" fillId="6" borderId="0" xfId="0" applyFont="1" applyFill="1"/>
    <xf numFmtId="0" fontId="0" fillId="6" borderId="6" xfId="0" applyFill="1" applyBorder="1" applyAlignment="1">
      <alignment horizontal="center" vertical="center"/>
    </xf>
    <xf numFmtId="0" fontId="0" fillId="6" borderId="6" xfId="0" applyFill="1" applyBorder="1"/>
    <xf numFmtId="0" fontId="2" fillId="17" borderId="3" xfId="0" applyFont="1" applyFill="1" applyBorder="1"/>
    <xf numFmtId="0" fontId="0" fillId="18" borderId="3" xfId="0" applyFill="1" applyBorder="1"/>
    <xf numFmtId="0" fontId="2" fillId="20" borderId="5" xfId="0" applyFont="1" applyFill="1" applyBorder="1"/>
    <xf numFmtId="0" fontId="0" fillId="21" borderId="0" xfId="0" applyFill="1"/>
    <xf numFmtId="0" fontId="9" fillId="11" borderId="0" xfId="0" applyFont="1" applyFill="1" applyAlignment="1">
      <alignment horizontal="center" vertical="center"/>
    </xf>
    <xf numFmtId="0" fontId="1" fillId="23" borderId="1" xfId="0" applyFont="1" applyFill="1" applyBorder="1" applyAlignment="1">
      <alignment vertical="center"/>
    </xf>
    <xf numFmtId="0" fontId="3" fillId="11" borderId="0" xfId="0" applyFont="1" applyFill="1" applyAlignment="1">
      <alignment horizontal="right"/>
    </xf>
    <xf numFmtId="0" fontId="0" fillId="24" borderId="1" xfId="0" applyFill="1" applyBorder="1"/>
    <xf numFmtId="0" fontId="0" fillId="24" borderId="1" xfId="0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23" borderId="1" xfId="0" applyFill="1" applyBorder="1" applyAlignment="1">
      <alignment horizontal="center" vertical="center"/>
    </xf>
    <xf numFmtId="0" fontId="2" fillId="24" borderId="1" xfId="0" applyFont="1" applyFill="1" applyBorder="1" applyAlignment="1">
      <alignment wrapText="1"/>
    </xf>
    <xf numFmtId="0" fontId="2" fillId="24" borderId="1" xfId="0" applyFont="1" applyFill="1" applyBorder="1"/>
    <xf numFmtId="0" fontId="1" fillId="18" borderId="1" xfId="0" applyFont="1" applyFill="1" applyBorder="1" applyAlignment="1">
      <alignment vertical="center" wrapText="1"/>
    </xf>
    <xf numFmtId="0" fontId="0" fillId="23" borderId="0" xfId="0" applyFill="1"/>
    <xf numFmtId="0" fontId="0" fillId="23" borderId="0" xfId="0" applyFill="1" applyAlignment="1">
      <alignment horizontal="center"/>
    </xf>
    <xf numFmtId="0" fontId="2" fillId="18" borderId="1" xfId="0" applyFont="1" applyFill="1" applyBorder="1" applyAlignment="1">
      <alignment wrapText="1"/>
    </xf>
    <xf numFmtId="0" fontId="0" fillId="24" borderId="1" xfId="0" applyFill="1" applyBorder="1" applyAlignment="1">
      <alignment wrapText="1"/>
    </xf>
    <xf numFmtId="0" fontId="0" fillId="23" borderId="0" xfId="0" applyFill="1" applyAlignment="1">
      <alignment horizontal="center" vertical="center"/>
    </xf>
    <xf numFmtId="0" fontId="2" fillId="23" borderId="9" xfId="0" applyFont="1" applyFill="1" applyBorder="1" applyAlignment="1">
      <alignment wrapText="1"/>
    </xf>
    <xf numFmtId="0" fontId="1" fillId="23" borderId="9" xfId="0" applyFont="1" applyFill="1" applyBorder="1" applyAlignment="1">
      <alignment vertical="center"/>
    </xf>
    <xf numFmtId="0" fontId="3" fillId="14" borderId="8" xfId="0" applyFont="1" applyFill="1" applyBorder="1" applyAlignment="1">
      <alignment horizontal="center" vertical="center"/>
    </xf>
    <xf numFmtId="0" fontId="3" fillId="14" borderId="0" xfId="0" applyFont="1" applyFill="1" applyAlignment="1">
      <alignment horizontal="center" vertical="center"/>
    </xf>
    <xf numFmtId="0" fontId="3" fillId="11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5" fillId="8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9" borderId="3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A5F2"/>
      <color rgb="FFEA7ED2"/>
      <color rgb="FFFF8C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Komposisi Mata Kuliah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FCE-C046-B553-8BDFC52809A4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FCE-C046-B553-8BDFC52809A4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FCE-C046-B553-8BDFC52809A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'Data Tambahan'!$B$5:$B$7</c:f>
              <c:strCache>
                <c:ptCount val="3"/>
                <c:pt idx="0">
                  <c:v>Sains Dasar</c:v>
                </c:pt>
                <c:pt idx="1">
                  <c:v>Engineering Topic</c:v>
                </c:pt>
                <c:pt idx="2">
                  <c:v>Pendididkan Umum</c:v>
                </c:pt>
              </c:strCache>
            </c:strRef>
          </c:cat>
          <c:val>
            <c:numRef>
              <c:f>'Data Tambahan'!$C$5:$C$7</c:f>
              <c:numCache>
                <c:formatCode>General</c:formatCode>
                <c:ptCount val="3"/>
                <c:pt idx="0">
                  <c:v>23</c:v>
                </c:pt>
                <c:pt idx="1">
                  <c:v>98</c:v>
                </c:pt>
                <c:pt idx="2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46-934E-852B-B86CA3EACE04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/>
      </a:fgClr>
      <a:bgClr>
        <a:schemeClr val="dk1">
          <a:lumMod val="10000"/>
          <a:lumOff val="90000"/>
        </a:schemeClr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858398</xdr:colOff>
      <xdr:row>10</xdr:row>
      <xdr:rowOff>139394</xdr:rowOff>
    </xdr:from>
    <xdr:to>
      <xdr:col>7</xdr:col>
      <xdr:colOff>52024</xdr:colOff>
      <xdr:row>27</xdr:row>
      <xdr:rowOff>21269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115DBA-AEE2-941D-A081-F8BEB56B98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F702A-B762-C948-949F-83660BF69031}">
  <dimension ref="B2:O182"/>
  <sheetViews>
    <sheetView topLeftCell="C1" zoomScale="166" zoomScaleNormal="166" workbookViewId="0">
      <pane xSplit="5" ySplit="4" topLeftCell="H93" activePane="bottomRight" state="frozen"/>
      <selection activeCell="C1" sqref="C1"/>
      <selection pane="topRight" activeCell="H1" sqref="H1"/>
      <selection pane="bottomLeft" activeCell="C5" sqref="C5"/>
      <selection pane="bottomRight" activeCell="J94" sqref="J94"/>
    </sheetView>
  </sheetViews>
  <sheetFormatPr baseColWidth="10" defaultColWidth="11.5" defaultRowHeight="13" x14ac:dyDescent="0.15"/>
  <cols>
    <col min="1" max="1" width="4.5" customWidth="1"/>
    <col min="2" max="2" width="10.1640625" customWidth="1"/>
    <col min="3" max="3" width="4.6640625" customWidth="1"/>
    <col min="4" max="4" width="11.6640625" bestFit="1" customWidth="1"/>
    <col min="5" max="5" width="30.83203125" bestFit="1" customWidth="1"/>
    <col min="6" max="6" width="15.6640625" bestFit="1" customWidth="1"/>
    <col min="7" max="7" width="4.6640625" bestFit="1" customWidth="1"/>
    <col min="8" max="8" width="4.5" customWidth="1"/>
    <col min="9" max="9" width="25.5" customWidth="1"/>
    <col min="10" max="10" width="23.33203125" customWidth="1"/>
    <col min="11" max="12" width="6.6640625" customWidth="1"/>
    <col min="13" max="14" width="6.33203125" customWidth="1"/>
  </cols>
  <sheetData>
    <row r="2" spans="2:14" ht="21" customHeight="1" x14ac:dyDescent="0.15">
      <c r="B2" s="127" t="s">
        <v>373</v>
      </c>
      <c r="C2" s="127"/>
      <c r="D2" s="127"/>
      <c r="E2" s="127"/>
      <c r="F2" s="127"/>
      <c r="G2" s="127"/>
      <c r="I2" s="62" t="s">
        <v>397</v>
      </c>
      <c r="J2" s="1" t="s">
        <v>371</v>
      </c>
    </row>
    <row r="3" spans="2:14" x14ac:dyDescent="0.15">
      <c r="B3" s="1" t="s">
        <v>372</v>
      </c>
      <c r="K3" s="125" t="s">
        <v>393</v>
      </c>
      <c r="L3" s="125"/>
      <c r="M3" s="126" t="s">
        <v>394</v>
      </c>
      <c r="N3" s="126"/>
    </row>
    <row r="4" spans="2:14" ht="20" customHeight="1" x14ac:dyDescent="0.15">
      <c r="B4" s="61" t="s">
        <v>0</v>
      </c>
      <c r="C4" s="61" t="s">
        <v>1</v>
      </c>
      <c r="D4" s="61" t="s">
        <v>2</v>
      </c>
      <c r="E4" s="61" t="s">
        <v>3</v>
      </c>
      <c r="F4" s="61" t="s">
        <v>4</v>
      </c>
      <c r="G4" s="61" t="s">
        <v>5</v>
      </c>
      <c r="I4" s="61" t="s">
        <v>396</v>
      </c>
      <c r="J4" s="61" t="s">
        <v>398</v>
      </c>
      <c r="K4" s="61" t="s">
        <v>5</v>
      </c>
      <c r="L4" s="61" t="s">
        <v>395</v>
      </c>
    </row>
    <row r="5" spans="2:14" x14ac:dyDescent="0.15">
      <c r="B5" s="52" t="s">
        <v>6</v>
      </c>
      <c r="C5" s="53">
        <v>1</v>
      </c>
      <c r="D5" s="54" t="s">
        <v>284</v>
      </c>
      <c r="E5" s="54" t="s">
        <v>285</v>
      </c>
      <c r="F5" s="54" t="s">
        <v>9</v>
      </c>
      <c r="G5" s="54">
        <v>3</v>
      </c>
      <c r="I5" s="50" t="str">
        <f>E5</f>
        <v>Kalkulus Variabel Tunggal</v>
      </c>
      <c r="J5" s="63" t="s">
        <v>108</v>
      </c>
      <c r="K5" s="50">
        <f>G5</f>
        <v>3</v>
      </c>
      <c r="L5" s="50">
        <v>1</v>
      </c>
    </row>
    <row r="6" spans="2:14" x14ac:dyDescent="0.15">
      <c r="B6" s="55" t="s">
        <v>6</v>
      </c>
      <c r="C6" s="56">
        <v>2</v>
      </c>
      <c r="D6" s="57" t="s">
        <v>286</v>
      </c>
      <c r="E6" s="57" t="s">
        <v>110</v>
      </c>
      <c r="F6" s="57" t="s">
        <v>9</v>
      </c>
      <c r="G6" s="57">
        <v>3</v>
      </c>
      <c r="I6" s="50" t="str">
        <f t="shared" ref="I6:I19" si="0">E6</f>
        <v>Matematika Diskrit</v>
      </c>
      <c r="J6" s="63" t="s">
        <v>110</v>
      </c>
      <c r="K6" s="50">
        <f t="shared" ref="K6:K19" si="1">G6</f>
        <v>3</v>
      </c>
      <c r="L6" s="50">
        <v>1</v>
      </c>
    </row>
    <row r="7" spans="2:14" x14ac:dyDescent="0.15">
      <c r="B7" s="55" t="s">
        <v>6</v>
      </c>
      <c r="C7" s="56">
        <v>3</v>
      </c>
      <c r="D7" s="57" t="s">
        <v>287</v>
      </c>
      <c r="E7" s="57" t="s">
        <v>288</v>
      </c>
      <c r="F7" s="57" t="s">
        <v>9</v>
      </c>
      <c r="G7" s="57">
        <v>2</v>
      </c>
      <c r="I7" s="74" t="str">
        <f t="shared" si="0"/>
        <v>Teori Vektor dan Matriks</v>
      </c>
      <c r="J7" s="73" t="s">
        <v>374</v>
      </c>
      <c r="K7" s="74"/>
      <c r="L7" s="74"/>
      <c r="M7">
        <v>2</v>
      </c>
      <c r="N7">
        <v>1</v>
      </c>
    </row>
    <row r="8" spans="2:14" x14ac:dyDescent="0.15">
      <c r="B8" s="55" t="s">
        <v>6</v>
      </c>
      <c r="C8" s="56">
        <v>4</v>
      </c>
      <c r="D8" s="57" t="s">
        <v>289</v>
      </c>
      <c r="E8" s="57" t="s">
        <v>290</v>
      </c>
      <c r="F8" s="57" t="s">
        <v>9</v>
      </c>
      <c r="G8" s="57">
        <v>2</v>
      </c>
      <c r="I8" s="50" t="str">
        <f t="shared" si="0"/>
        <v>Fisika Mekanika Klasik</v>
      </c>
      <c r="J8" s="63" t="s">
        <v>107</v>
      </c>
      <c r="K8" s="50">
        <f t="shared" si="1"/>
        <v>2</v>
      </c>
      <c r="L8" s="50">
        <v>1</v>
      </c>
    </row>
    <row r="9" spans="2:14" x14ac:dyDescent="0.15">
      <c r="B9" s="55" t="s">
        <v>6</v>
      </c>
      <c r="C9" s="56">
        <v>5</v>
      </c>
      <c r="D9" s="57" t="s">
        <v>291</v>
      </c>
      <c r="E9" s="57" t="s">
        <v>292</v>
      </c>
      <c r="F9" s="57" t="s">
        <v>9</v>
      </c>
      <c r="G9" s="57">
        <v>2</v>
      </c>
      <c r="I9" s="50" t="str">
        <f t="shared" si="0"/>
        <v>Fisika Fluida, Kalor dan Gelombang</v>
      </c>
      <c r="J9" s="63" t="s">
        <v>107</v>
      </c>
      <c r="K9" s="50">
        <f t="shared" si="1"/>
        <v>2</v>
      </c>
      <c r="L9" s="50">
        <v>1</v>
      </c>
    </row>
    <row r="10" spans="2:14" x14ac:dyDescent="0.15">
      <c r="B10" s="55" t="s">
        <v>6</v>
      </c>
      <c r="C10" s="56">
        <v>6</v>
      </c>
      <c r="D10" s="57" t="s">
        <v>293</v>
      </c>
      <c r="E10" s="57" t="s">
        <v>111</v>
      </c>
      <c r="F10" s="57" t="s">
        <v>14</v>
      </c>
      <c r="G10" s="57">
        <v>3</v>
      </c>
      <c r="I10" s="50" t="str">
        <f t="shared" si="0"/>
        <v>Pemrograman Dasar</v>
      </c>
      <c r="J10" s="63" t="s">
        <v>375</v>
      </c>
      <c r="K10" s="50">
        <f t="shared" si="1"/>
        <v>3</v>
      </c>
      <c r="L10" s="50">
        <v>1</v>
      </c>
    </row>
    <row r="11" spans="2:14" x14ac:dyDescent="0.15">
      <c r="B11" s="55" t="s">
        <v>6</v>
      </c>
      <c r="C11" s="56">
        <v>7</v>
      </c>
      <c r="D11" s="57" t="s">
        <v>294</v>
      </c>
      <c r="E11" s="57" t="s">
        <v>295</v>
      </c>
      <c r="F11" s="57" t="s">
        <v>24</v>
      </c>
      <c r="G11" s="57">
        <v>2</v>
      </c>
      <c r="I11" s="50" t="str">
        <f t="shared" si="0"/>
        <v>Manajemen Industri</v>
      </c>
      <c r="J11" s="63" t="s">
        <v>146</v>
      </c>
      <c r="K11" s="50">
        <f t="shared" si="1"/>
        <v>2</v>
      </c>
      <c r="L11" s="50">
        <v>7</v>
      </c>
    </row>
    <row r="12" spans="2:14" x14ac:dyDescent="0.15">
      <c r="B12" s="58" t="s">
        <v>21</v>
      </c>
      <c r="C12" s="59">
        <v>1</v>
      </c>
      <c r="D12" s="60" t="s">
        <v>296</v>
      </c>
      <c r="E12" s="60" t="s">
        <v>119</v>
      </c>
      <c r="F12" s="60" t="s">
        <v>24</v>
      </c>
      <c r="G12" s="60">
        <v>2</v>
      </c>
      <c r="I12" s="72" t="str">
        <f t="shared" si="0"/>
        <v>Konsep Keteknikan untuk Peradaban</v>
      </c>
      <c r="J12" s="63" t="s">
        <v>119</v>
      </c>
      <c r="K12" s="50">
        <f t="shared" si="1"/>
        <v>2</v>
      </c>
      <c r="L12" s="50">
        <v>2</v>
      </c>
    </row>
    <row r="13" spans="2:14" x14ac:dyDescent="0.15">
      <c r="B13" s="58" t="s">
        <v>21</v>
      </c>
      <c r="C13" s="59">
        <v>2</v>
      </c>
      <c r="D13" s="60" t="s">
        <v>297</v>
      </c>
      <c r="E13" s="60" t="s">
        <v>116</v>
      </c>
      <c r="F13" s="60" t="s">
        <v>9</v>
      </c>
      <c r="G13" s="60">
        <v>3</v>
      </c>
      <c r="I13" s="72" t="str">
        <f t="shared" si="0"/>
        <v>Kalkulus Variabel Jamak</v>
      </c>
      <c r="J13" s="63" t="s">
        <v>116</v>
      </c>
      <c r="K13" s="50">
        <f t="shared" si="1"/>
        <v>3</v>
      </c>
      <c r="L13" s="50">
        <v>2</v>
      </c>
    </row>
    <row r="14" spans="2:14" x14ac:dyDescent="0.15">
      <c r="B14" s="58" t="s">
        <v>21</v>
      </c>
      <c r="C14" s="59">
        <v>3</v>
      </c>
      <c r="D14" s="60" t="s">
        <v>298</v>
      </c>
      <c r="E14" s="60" t="s">
        <v>299</v>
      </c>
      <c r="F14" s="60" t="s">
        <v>9</v>
      </c>
      <c r="G14" s="60">
        <v>3</v>
      </c>
      <c r="I14" s="74" t="str">
        <f t="shared" si="0"/>
        <v>Analisis Variabel Kompleks</v>
      </c>
      <c r="J14" s="73" t="s">
        <v>374</v>
      </c>
      <c r="K14" s="74"/>
      <c r="L14" s="74"/>
      <c r="M14">
        <v>3</v>
      </c>
      <c r="N14">
        <v>2</v>
      </c>
    </row>
    <row r="15" spans="2:14" x14ac:dyDescent="0.15">
      <c r="B15" s="58" t="s">
        <v>21</v>
      </c>
      <c r="C15" s="59">
        <v>4</v>
      </c>
      <c r="D15" s="60" t="s">
        <v>300</v>
      </c>
      <c r="E15" s="60" t="s">
        <v>301</v>
      </c>
      <c r="F15" s="60" t="s">
        <v>9</v>
      </c>
      <c r="G15" s="60">
        <v>3</v>
      </c>
      <c r="I15" s="72" t="str">
        <f t="shared" si="0"/>
        <v>Aljabar Linear</v>
      </c>
      <c r="J15" s="63" t="s">
        <v>105</v>
      </c>
      <c r="K15" s="50">
        <f t="shared" si="1"/>
        <v>3</v>
      </c>
      <c r="L15" s="50">
        <v>1</v>
      </c>
    </row>
    <row r="16" spans="2:14" x14ac:dyDescent="0.15">
      <c r="B16" s="58" t="s">
        <v>21</v>
      </c>
      <c r="C16" s="59">
        <v>5</v>
      </c>
      <c r="D16" s="60" t="s">
        <v>302</v>
      </c>
      <c r="E16" s="60" t="s">
        <v>112</v>
      </c>
      <c r="F16" s="60" t="s">
        <v>9</v>
      </c>
      <c r="G16" s="60">
        <v>2</v>
      </c>
      <c r="I16" s="72" t="str">
        <f t="shared" si="0"/>
        <v>Probabilitas dan Variabel Acak</v>
      </c>
      <c r="J16" s="63" t="s">
        <v>112</v>
      </c>
      <c r="K16" s="50">
        <f t="shared" si="1"/>
        <v>2</v>
      </c>
      <c r="L16" s="50">
        <v>1</v>
      </c>
    </row>
    <row r="17" spans="2:15" x14ac:dyDescent="0.15">
      <c r="B17" s="58" t="s">
        <v>21</v>
      </c>
      <c r="C17" s="59">
        <v>6</v>
      </c>
      <c r="D17" s="60" t="s">
        <v>303</v>
      </c>
      <c r="E17" s="60" t="s">
        <v>304</v>
      </c>
      <c r="F17" s="60" t="s">
        <v>9</v>
      </c>
      <c r="G17" s="60">
        <v>3</v>
      </c>
      <c r="I17" s="74" t="str">
        <f t="shared" si="0"/>
        <v>Fisika Listrik dan Magnet</v>
      </c>
      <c r="J17" s="73" t="s">
        <v>374</v>
      </c>
      <c r="K17" s="74"/>
      <c r="L17" s="74"/>
      <c r="M17">
        <v>3</v>
      </c>
      <c r="N17">
        <v>2</v>
      </c>
    </row>
    <row r="18" spans="2:15" x14ac:dyDescent="0.15">
      <c r="B18" s="58" t="s">
        <v>21</v>
      </c>
      <c r="C18" s="59">
        <v>7</v>
      </c>
      <c r="D18" s="60" t="s">
        <v>305</v>
      </c>
      <c r="E18" s="60" t="s">
        <v>114</v>
      </c>
      <c r="F18" s="60" t="s">
        <v>14</v>
      </c>
      <c r="G18" s="60">
        <v>3</v>
      </c>
      <c r="I18" s="72" t="str">
        <f t="shared" si="0"/>
        <v>Algoritme dan Struktur Data</v>
      </c>
      <c r="J18" s="63" t="s">
        <v>114</v>
      </c>
      <c r="K18" s="50">
        <f t="shared" si="1"/>
        <v>3</v>
      </c>
      <c r="L18" s="50">
        <v>2</v>
      </c>
    </row>
    <row r="19" spans="2:15" x14ac:dyDescent="0.15">
      <c r="B19" s="58" t="s">
        <v>21</v>
      </c>
      <c r="C19" s="59">
        <v>8</v>
      </c>
      <c r="D19" s="60" t="s">
        <v>306</v>
      </c>
      <c r="E19" s="60" t="s">
        <v>117</v>
      </c>
      <c r="F19" s="60" t="s">
        <v>14</v>
      </c>
      <c r="G19" s="60">
        <v>1</v>
      </c>
      <c r="I19" s="72" t="str">
        <f t="shared" si="0"/>
        <v>Praktikum Pemrograman Dasar</v>
      </c>
      <c r="J19" s="63" t="s">
        <v>117</v>
      </c>
      <c r="K19" s="50">
        <f t="shared" si="1"/>
        <v>1</v>
      </c>
      <c r="L19" s="50">
        <v>2</v>
      </c>
    </row>
    <row r="20" spans="2:15" x14ac:dyDescent="0.15">
      <c r="G20">
        <f>SUM(G5:G19)</f>
        <v>37</v>
      </c>
      <c r="I20" s="104" t="s">
        <v>109</v>
      </c>
      <c r="J20" s="104" t="s">
        <v>109</v>
      </c>
      <c r="K20" s="105">
        <v>2</v>
      </c>
      <c r="L20" s="105">
        <v>1</v>
      </c>
      <c r="O20" s="1" t="s">
        <v>377</v>
      </c>
    </row>
    <row r="21" spans="2:15" x14ac:dyDescent="0.15">
      <c r="I21" s="68" t="s">
        <v>113</v>
      </c>
      <c r="J21" s="68" t="s">
        <v>113</v>
      </c>
      <c r="K21" s="69">
        <v>2</v>
      </c>
      <c r="L21" s="69">
        <v>2</v>
      </c>
      <c r="O21" s="1" t="s">
        <v>378</v>
      </c>
    </row>
    <row r="22" spans="2:15" x14ac:dyDescent="0.15">
      <c r="I22" s="70" t="s">
        <v>115</v>
      </c>
      <c r="J22" s="70" t="s">
        <v>115</v>
      </c>
      <c r="K22" s="69">
        <v>3</v>
      </c>
      <c r="L22" s="69">
        <v>2</v>
      </c>
      <c r="O22" s="1" t="s">
        <v>378</v>
      </c>
    </row>
    <row r="23" spans="2:15" x14ac:dyDescent="0.15">
      <c r="I23" s="70" t="s">
        <v>118</v>
      </c>
      <c r="J23" s="70" t="s">
        <v>118</v>
      </c>
      <c r="K23" s="69">
        <v>2</v>
      </c>
      <c r="L23" s="69">
        <v>2</v>
      </c>
      <c r="O23" s="1" t="s">
        <v>378</v>
      </c>
    </row>
    <row r="24" spans="2:15" x14ac:dyDescent="0.15">
      <c r="I24" s="70" t="s">
        <v>120</v>
      </c>
      <c r="J24" s="70" t="s">
        <v>120</v>
      </c>
      <c r="K24" s="69">
        <v>3</v>
      </c>
      <c r="L24" s="69">
        <v>2</v>
      </c>
      <c r="O24" s="1" t="s">
        <v>378</v>
      </c>
    </row>
    <row r="25" spans="2:15" x14ac:dyDescent="0.15">
      <c r="K25">
        <f>SUM(K5:K19)</f>
        <v>29</v>
      </c>
      <c r="M25">
        <f>SUM(M5:M19)</f>
        <v>8</v>
      </c>
      <c r="O25">
        <f>SUM(K20:K24)</f>
        <v>12</v>
      </c>
    </row>
    <row r="28" spans="2:15" x14ac:dyDescent="0.15">
      <c r="B28" s="1" t="s">
        <v>376</v>
      </c>
    </row>
    <row r="29" spans="2:15" x14ac:dyDescent="0.15">
      <c r="B29" s="61" t="s">
        <v>0</v>
      </c>
      <c r="C29" s="61" t="s">
        <v>1</v>
      </c>
      <c r="D29" s="61" t="s">
        <v>2</v>
      </c>
      <c r="E29" s="61" t="s">
        <v>3</v>
      </c>
      <c r="F29" s="61" t="s">
        <v>4</v>
      </c>
      <c r="G29" s="61" t="s">
        <v>5</v>
      </c>
      <c r="I29" s="61" t="s">
        <v>396</v>
      </c>
      <c r="K29" s="125" t="s">
        <v>393</v>
      </c>
      <c r="L29" s="125"/>
      <c r="M29" s="126" t="s">
        <v>394</v>
      </c>
      <c r="N29" s="126"/>
    </row>
    <row r="30" spans="2:15" x14ac:dyDescent="0.15">
      <c r="B30" s="52" t="s">
        <v>6</v>
      </c>
      <c r="C30" s="53">
        <v>1</v>
      </c>
      <c r="D30" s="54" t="s">
        <v>284</v>
      </c>
      <c r="E30" s="54" t="s">
        <v>285</v>
      </c>
      <c r="F30" s="54" t="s">
        <v>9</v>
      </c>
      <c r="G30" s="54">
        <v>3</v>
      </c>
      <c r="I30" s="54" t="s">
        <v>285</v>
      </c>
      <c r="J30" s="63" t="str">
        <f>E30</f>
        <v>Kalkulus Variabel Tunggal</v>
      </c>
      <c r="K30" s="50">
        <v>3</v>
      </c>
      <c r="L30" s="50">
        <v>1</v>
      </c>
    </row>
    <row r="31" spans="2:15" x14ac:dyDescent="0.15">
      <c r="B31" s="55" t="s">
        <v>6</v>
      </c>
      <c r="C31" s="56">
        <v>2</v>
      </c>
      <c r="D31" s="57" t="s">
        <v>286</v>
      </c>
      <c r="E31" s="57" t="s">
        <v>110</v>
      </c>
      <c r="F31" s="57" t="s">
        <v>9</v>
      </c>
      <c r="G31" s="57">
        <v>3</v>
      </c>
      <c r="I31" s="57" t="s">
        <v>110</v>
      </c>
      <c r="J31" s="63" t="s">
        <v>110</v>
      </c>
      <c r="K31" s="50">
        <v>3</v>
      </c>
      <c r="L31" s="50">
        <v>1</v>
      </c>
    </row>
    <row r="32" spans="2:15" x14ac:dyDescent="0.15">
      <c r="B32" s="55" t="s">
        <v>6</v>
      </c>
      <c r="C32" s="56">
        <v>3</v>
      </c>
      <c r="D32" s="57" t="s">
        <v>287</v>
      </c>
      <c r="E32" s="57" t="s">
        <v>288</v>
      </c>
      <c r="F32" s="57" t="s">
        <v>9</v>
      </c>
      <c r="G32" s="57">
        <v>2</v>
      </c>
      <c r="I32" s="106" t="s">
        <v>288</v>
      </c>
      <c r="J32" s="73" t="str">
        <f>E32</f>
        <v>Teori Vektor dan Matriks</v>
      </c>
      <c r="K32" s="107"/>
      <c r="L32" s="107"/>
      <c r="M32" s="74">
        <v>2</v>
      </c>
      <c r="N32" s="74">
        <v>1</v>
      </c>
    </row>
    <row r="33" spans="2:14" x14ac:dyDescent="0.15">
      <c r="B33" s="55" t="s">
        <v>6</v>
      </c>
      <c r="C33" s="56">
        <v>4</v>
      </c>
      <c r="D33" s="57" t="s">
        <v>289</v>
      </c>
      <c r="E33" s="57" t="s">
        <v>290</v>
      </c>
      <c r="F33" s="57" t="s">
        <v>9</v>
      </c>
      <c r="G33" s="57">
        <v>2</v>
      </c>
      <c r="I33" s="57" t="s">
        <v>290</v>
      </c>
      <c r="J33" s="63" t="str">
        <f>E33</f>
        <v>Fisika Mekanika Klasik</v>
      </c>
      <c r="K33" s="50">
        <f>G33</f>
        <v>2</v>
      </c>
      <c r="L33" s="50">
        <v>1</v>
      </c>
    </row>
    <row r="34" spans="2:14" x14ac:dyDescent="0.15">
      <c r="B34" s="55" t="s">
        <v>6</v>
      </c>
      <c r="C34" s="56">
        <v>5</v>
      </c>
      <c r="D34" s="57" t="s">
        <v>291</v>
      </c>
      <c r="E34" s="57" t="s">
        <v>292</v>
      </c>
      <c r="F34" s="57" t="s">
        <v>9</v>
      </c>
      <c r="G34" s="57">
        <v>2</v>
      </c>
      <c r="I34" s="57" t="s">
        <v>292</v>
      </c>
      <c r="J34" s="63" t="str">
        <f t="shared" ref="J34:J36" si="2">E34</f>
        <v>Fisika Fluida, Kalor dan Gelombang</v>
      </c>
      <c r="K34" s="50">
        <f t="shared" ref="K34:K36" si="3">G34</f>
        <v>2</v>
      </c>
      <c r="L34" s="50">
        <v>1</v>
      </c>
    </row>
    <row r="35" spans="2:14" x14ac:dyDescent="0.15">
      <c r="B35" s="55" t="s">
        <v>6</v>
      </c>
      <c r="C35" s="56">
        <v>6</v>
      </c>
      <c r="D35" s="57" t="s">
        <v>293</v>
      </c>
      <c r="E35" s="57" t="s">
        <v>111</v>
      </c>
      <c r="F35" s="57" t="s">
        <v>14</v>
      </c>
      <c r="G35" s="57">
        <v>3</v>
      </c>
      <c r="I35" s="57" t="s">
        <v>111</v>
      </c>
      <c r="J35" s="63" t="str">
        <f t="shared" si="2"/>
        <v>Pemrograman Dasar</v>
      </c>
      <c r="K35" s="50">
        <f t="shared" si="3"/>
        <v>3</v>
      </c>
      <c r="L35" s="50">
        <v>1</v>
      </c>
    </row>
    <row r="36" spans="2:14" x14ac:dyDescent="0.15">
      <c r="B36" s="55" t="s">
        <v>6</v>
      </c>
      <c r="C36" s="56">
        <v>7</v>
      </c>
      <c r="D36" s="57" t="s">
        <v>294</v>
      </c>
      <c r="E36" s="57" t="s">
        <v>295</v>
      </c>
      <c r="F36" s="57" t="s">
        <v>24</v>
      </c>
      <c r="G36" s="57">
        <v>2</v>
      </c>
      <c r="I36" s="57" t="s">
        <v>295</v>
      </c>
      <c r="J36" s="63" t="str">
        <f t="shared" si="2"/>
        <v>Manajemen Industri</v>
      </c>
      <c r="K36" s="50">
        <f t="shared" si="3"/>
        <v>2</v>
      </c>
      <c r="L36" s="50">
        <v>7</v>
      </c>
    </row>
    <row r="37" spans="2:14" x14ac:dyDescent="0.15">
      <c r="B37" s="58" t="s">
        <v>21</v>
      </c>
      <c r="C37" s="59">
        <v>1</v>
      </c>
      <c r="D37" s="60" t="s">
        <v>296</v>
      </c>
      <c r="E37" s="60" t="s">
        <v>119</v>
      </c>
      <c r="F37" s="60" t="s">
        <v>24</v>
      </c>
      <c r="G37" s="60">
        <v>2</v>
      </c>
      <c r="I37" s="60" t="s">
        <v>119</v>
      </c>
      <c r="J37" s="63" t="s">
        <v>119</v>
      </c>
      <c r="K37" s="50">
        <v>3</v>
      </c>
      <c r="L37" s="50">
        <v>2</v>
      </c>
    </row>
    <row r="38" spans="2:14" x14ac:dyDescent="0.15">
      <c r="B38" s="58" t="s">
        <v>21</v>
      </c>
      <c r="C38" s="59">
        <v>2</v>
      </c>
      <c r="D38" s="60" t="s">
        <v>297</v>
      </c>
      <c r="E38" s="60" t="s">
        <v>116</v>
      </c>
      <c r="F38" s="60" t="s">
        <v>9</v>
      </c>
      <c r="G38" s="60">
        <v>3</v>
      </c>
      <c r="I38" s="60" t="s">
        <v>116</v>
      </c>
      <c r="J38" s="63" t="s">
        <v>116</v>
      </c>
      <c r="K38" s="50">
        <v>3</v>
      </c>
      <c r="L38" s="50">
        <v>2</v>
      </c>
    </row>
    <row r="39" spans="2:14" x14ac:dyDescent="0.15">
      <c r="B39" s="58" t="s">
        <v>21</v>
      </c>
      <c r="C39" s="59">
        <v>3</v>
      </c>
      <c r="D39" s="60" t="s">
        <v>298</v>
      </c>
      <c r="E39" s="60" t="s">
        <v>299</v>
      </c>
      <c r="F39" s="60" t="s">
        <v>9</v>
      </c>
      <c r="G39" s="60">
        <v>3</v>
      </c>
      <c r="I39" s="106" t="s">
        <v>299</v>
      </c>
      <c r="J39" s="73" t="str">
        <f>E39</f>
        <v>Analisis Variabel Kompleks</v>
      </c>
      <c r="K39" s="107"/>
      <c r="L39" s="107"/>
      <c r="M39" s="74">
        <v>3</v>
      </c>
      <c r="N39" s="74">
        <v>2</v>
      </c>
    </row>
    <row r="40" spans="2:14" x14ac:dyDescent="0.15">
      <c r="B40" s="58" t="s">
        <v>21</v>
      </c>
      <c r="C40" s="59">
        <v>4</v>
      </c>
      <c r="D40" s="60" t="s">
        <v>300</v>
      </c>
      <c r="E40" s="60" t="s">
        <v>301</v>
      </c>
      <c r="F40" s="60" t="s">
        <v>9</v>
      </c>
      <c r="G40" s="60">
        <v>3</v>
      </c>
      <c r="I40" s="60" t="s">
        <v>301</v>
      </c>
      <c r="J40" s="63" t="str">
        <f>E40</f>
        <v>Aljabar Linear</v>
      </c>
      <c r="K40" s="50">
        <v>3</v>
      </c>
      <c r="L40" s="50">
        <v>1</v>
      </c>
    </row>
    <row r="41" spans="2:14" x14ac:dyDescent="0.15">
      <c r="B41" s="58" t="s">
        <v>21</v>
      </c>
      <c r="C41" s="59">
        <v>5</v>
      </c>
      <c r="D41" s="60" t="s">
        <v>302</v>
      </c>
      <c r="E41" s="60" t="s">
        <v>112</v>
      </c>
      <c r="F41" s="60" t="s">
        <v>9</v>
      </c>
      <c r="G41" s="60">
        <v>2</v>
      </c>
      <c r="I41" s="60" t="s">
        <v>112</v>
      </c>
      <c r="J41" s="63" t="s">
        <v>112</v>
      </c>
      <c r="K41" s="50">
        <v>2</v>
      </c>
      <c r="L41" s="50">
        <v>1</v>
      </c>
    </row>
    <row r="42" spans="2:14" x14ac:dyDescent="0.15">
      <c r="B42" s="58" t="s">
        <v>21</v>
      </c>
      <c r="C42" s="59">
        <v>6</v>
      </c>
      <c r="D42" s="60" t="s">
        <v>303</v>
      </c>
      <c r="E42" s="60" t="s">
        <v>304</v>
      </c>
      <c r="F42" s="60" t="s">
        <v>9</v>
      </c>
      <c r="G42" s="60">
        <v>3</v>
      </c>
      <c r="I42" s="106" t="s">
        <v>304</v>
      </c>
      <c r="J42" s="73" t="str">
        <f>E42</f>
        <v>Fisika Listrik dan Magnet</v>
      </c>
      <c r="K42" s="107"/>
      <c r="L42" s="107"/>
      <c r="M42" s="74">
        <v>3</v>
      </c>
      <c r="N42" s="74">
        <v>2</v>
      </c>
    </row>
    <row r="43" spans="2:14" x14ac:dyDescent="0.15">
      <c r="B43" s="58" t="s">
        <v>21</v>
      </c>
      <c r="C43" s="59">
        <v>7</v>
      </c>
      <c r="D43" s="60" t="s">
        <v>305</v>
      </c>
      <c r="E43" s="60" t="s">
        <v>114</v>
      </c>
      <c r="F43" s="60" t="s">
        <v>14</v>
      </c>
      <c r="G43" s="60">
        <v>3</v>
      </c>
      <c r="I43" s="60" t="s">
        <v>114</v>
      </c>
      <c r="J43" s="63" t="s">
        <v>114</v>
      </c>
      <c r="K43" s="50">
        <v>3</v>
      </c>
      <c r="L43" s="50">
        <v>2</v>
      </c>
    </row>
    <row r="44" spans="2:14" x14ac:dyDescent="0.15">
      <c r="B44" s="58" t="s">
        <v>21</v>
      </c>
      <c r="C44" s="59">
        <v>8</v>
      </c>
      <c r="D44" s="60" t="s">
        <v>306</v>
      </c>
      <c r="E44" s="60" t="s">
        <v>117</v>
      </c>
      <c r="F44" s="60" t="s">
        <v>14</v>
      </c>
      <c r="G44" s="60">
        <v>1</v>
      </c>
      <c r="I44" s="60" t="s">
        <v>117</v>
      </c>
      <c r="J44" s="63" t="s">
        <v>117</v>
      </c>
      <c r="K44" s="50">
        <v>1</v>
      </c>
      <c r="L44" s="50">
        <v>2</v>
      </c>
    </row>
    <row r="45" spans="2:14" x14ac:dyDescent="0.15">
      <c r="B45" s="2" t="s">
        <v>38</v>
      </c>
      <c r="C45" s="4">
        <v>1</v>
      </c>
      <c r="D45" s="2" t="s">
        <v>307</v>
      </c>
      <c r="E45" s="2" t="s">
        <v>126</v>
      </c>
      <c r="F45" s="2" t="s">
        <v>9</v>
      </c>
      <c r="G45" s="2">
        <v>3</v>
      </c>
      <c r="I45" s="2" t="s">
        <v>126</v>
      </c>
      <c r="J45" s="63" t="s">
        <v>126</v>
      </c>
      <c r="K45" s="50">
        <v>3</v>
      </c>
      <c r="L45" s="50">
        <v>3</v>
      </c>
    </row>
    <row r="46" spans="2:14" x14ac:dyDescent="0.15">
      <c r="B46" s="2" t="s">
        <v>38</v>
      </c>
      <c r="C46" s="4">
        <v>2</v>
      </c>
      <c r="D46" s="2" t="s">
        <v>308</v>
      </c>
      <c r="E46" s="2" t="s">
        <v>124</v>
      </c>
      <c r="F46" s="2" t="s">
        <v>14</v>
      </c>
      <c r="G46" s="2">
        <v>3</v>
      </c>
      <c r="I46" s="2" t="s">
        <v>124</v>
      </c>
      <c r="J46" s="63" t="s">
        <v>124</v>
      </c>
      <c r="K46" s="50">
        <v>3</v>
      </c>
      <c r="L46" s="50">
        <v>3</v>
      </c>
    </row>
    <row r="47" spans="2:14" x14ac:dyDescent="0.15">
      <c r="B47" s="2" t="s">
        <v>38</v>
      </c>
      <c r="C47" s="4">
        <v>3</v>
      </c>
      <c r="D47" s="2" t="s">
        <v>309</v>
      </c>
      <c r="E47" s="2" t="s">
        <v>118</v>
      </c>
      <c r="F47" s="2" t="s">
        <v>9</v>
      </c>
      <c r="G47" s="2">
        <v>2</v>
      </c>
      <c r="I47" s="2" t="s">
        <v>118</v>
      </c>
      <c r="J47" s="63" t="s">
        <v>118</v>
      </c>
      <c r="K47" s="50">
        <v>2</v>
      </c>
      <c r="L47" s="50">
        <v>2</v>
      </c>
    </row>
    <row r="48" spans="2:14" x14ac:dyDescent="0.15">
      <c r="B48" s="2" t="s">
        <v>38</v>
      </c>
      <c r="C48" s="4">
        <v>4</v>
      </c>
      <c r="D48" s="2" t="s">
        <v>310</v>
      </c>
      <c r="E48" s="2" t="s">
        <v>127</v>
      </c>
      <c r="F48" s="2" t="s">
        <v>14</v>
      </c>
      <c r="G48" s="2">
        <v>1</v>
      </c>
      <c r="I48" s="2" t="s">
        <v>127</v>
      </c>
      <c r="J48" s="63" t="s">
        <v>127</v>
      </c>
      <c r="K48" s="50">
        <v>1</v>
      </c>
      <c r="L48" s="50">
        <v>3</v>
      </c>
    </row>
    <row r="49" spans="2:15" x14ac:dyDescent="0.15">
      <c r="B49" s="2" t="s">
        <v>38</v>
      </c>
      <c r="C49" s="4">
        <v>5</v>
      </c>
      <c r="D49" s="2" t="s">
        <v>311</v>
      </c>
      <c r="E49" s="2" t="s">
        <v>121</v>
      </c>
      <c r="F49" s="2" t="s">
        <v>14</v>
      </c>
      <c r="G49" s="2">
        <v>3</v>
      </c>
      <c r="I49" s="2" t="s">
        <v>121</v>
      </c>
      <c r="J49" s="63" t="s">
        <v>121</v>
      </c>
      <c r="K49" s="50">
        <v>3</v>
      </c>
      <c r="L49" s="50">
        <v>3</v>
      </c>
    </row>
    <row r="50" spans="2:15" x14ac:dyDescent="0.15">
      <c r="B50" s="2" t="s">
        <v>38</v>
      </c>
      <c r="C50" s="4">
        <v>6</v>
      </c>
      <c r="D50" s="2" t="s">
        <v>312</v>
      </c>
      <c r="E50" s="2" t="s">
        <v>313</v>
      </c>
      <c r="F50" s="2" t="s">
        <v>14</v>
      </c>
      <c r="G50" s="2">
        <v>3</v>
      </c>
      <c r="I50" s="2" t="s">
        <v>313</v>
      </c>
      <c r="J50" s="63" t="s">
        <v>135</v>
      </c>
      <c r="K50" s="50">
        <v>3</v>
      </c>
      <c r="L50" s="50">
        <v>4</v>
      </c>
    </row>
    <row r="51" spans="2:15" x14ac:dyDescent="0.15">
      <c r="B51" s="2" t="s">
        <v>38</v>
      </c>
      <c r="C51" s="4">
        <v>7</v>
      </c>
      <c r="D51" s="2" t="s">
        <v>314</v>
      </c>
      <c r="E51" s="2" t="s">
        <v>125</v>
      </c>
      <c r="F51" s="2" t="s">
        <v>14</v>
      </c>
      <c r="G51" s="2">
        <v>3</v>
      </c>
      <c r="I51" s="2" t="s">
        <v>125</v>
      </c>
      <c r="J51" s="63" t="s">
        <v>125</v>
      </c>
      <c r="K51" s="50">
        <v>3</v>
      </c>
      <c r="L51" s="50">
        <v>3</v>
      </c>
    </row>
    <row r="52" spans="2:15" x14ac:dyDescent="0.15">
      <c r="B52" s="2" t="s">
        <v>38</v>
      </c>
      <c r="C52" s="4">
        <v>8</v>
      </c>
      <c r="D52" s="2" t="s">
        <v>315</v>
      </c>
      <c r="E52" s="2" t="s">
        <v>115</v>
      </c>
      <c r="F52" s="2" t="s">
        <v>14</v>
      </c>
      <c r="G52" s="2">
        <v>3</v>
      </c>
      <c r="I52" s="2" t="s">
        <v>115</v>
      </c>
      <c r="J52" s="63" t="s">
        <v>115</v>
      </c>
      <c r="K52" s="50">
        <v>3</v>
      </c>
      <c r="L52" s="50">
        <v>2</v>
      </c>
    </row>
    <row r="53" spans="2:15" x14ac:dyDescent="0.15">
      <c r="B53" s="3" t="s">
        <v>55</v>
      </c>
      <c r="C53" s="5">
        <v>1</v>
      </c>
      <c r="D53" s="3" t="s">
        <v>316</v>
      </c>
      <c r="E53" s="3" t="s">
        <v>317</v>
      </c>
      <c r="F53" s="3" t="s">
        <v>14</v>
      </c>
      <c r="G53" s="3">
        <v>3</v>
      </c>
      <c r="I53" s="3" t="s">
        <v>317</v>
      </c>
      <c r="J53" s="71" t="s">
        <v>392</v>
      </c>
      <c r="K53" s="72">
        <v>3</v>
      </c>
      <c r="L53" s="72">
        <v>5</v>
      </c>
    </row>
    <row r="54" spans="2:15" x14ac:dyDescent="0.15">
      <c r="B54" s="3" t="s">
        <v>55</v>
      </c>
      <c r="C54" s="5">
        <v>2</v>
      </c>
      <c r="D54" s="3" t="s">
        <v>318</v>
      </c>
      <c r="E54" s="3" t="s">
        <v>120</v>
      </c>
      <c r="F54" s="3" t="s">
        <v>14</v>
      </c>
      <c r="G54" s="3">
        <v>3</v>
      </c>
      <c r="I54" s="3" t="s">
        <v>120</v>
      </c>
      <c r="J54" s="71" t="s">
        <v>120</v>
      </c>
      <c r="K54" s="72">
        <v>3</v>
      </c>
      <c r="L54" s="72">
        <v>2</v>
      </c>
    </row>
    <row r="55" spans="2:15" x14ac:dyDescent="0.15">
      <c r="B55" s="3" t="s">
        <v>55</v>
      </c>
      <c r="C55" s="5">
        <v>3</v>
      </c>
      <c r="D55" s="3" t="s">
        <v>319</v>
      </c>
      <c r="E55" s="3" t="s">
        <v>320</v>
      </c>
      <c r="F55" s="3" t="s">
        <v>14</v>
      </c>
      <c r="G55" s="3">
        <v>2</v>
      </c>
      <c r="I55" s="3" t="s">
        <v>320</v>
      </c>
      <c r="J55" s="71" t="s">
        <v>109</v>
      </c>
      <c r="K55" s="72">
        <v>2</v>
      </c>
      <c r="L55" s="72">
        <v>1</v>
      </c>
    </row>
    <row r="56" spans="2:15" x14ac:dyDescent="0.15">
      <c r="B56" s="3" t="s">
        <v>55</v>
      </c>
      <c r="C56" s="5">
        <v>4</v>
      </c>
      <c r="D56" s="3" t="s">
        <v>321</v>
      </c>
      <c r="E56" s="3" t="s">
        <v>322</v>
      </c>
      <c r="F56" s="3" t="s">
        <v>14</v>
      </c>
      <c r="G56" s="3">
        <v>3</v>
      </c>
      <c r="I56" s="3" t="s">
        <v>322</v>
      </c>
      <c r="J56" s="71" t="s">
        <v>123</v>
      </c>
      <c r="K56" s="72">
        <v>3</v>
      </c>
      <c r="L56" s="72">
        <v>3</v>
      </c>
    </row>
    <row r="57" spans="2:15" x14ac:dyDescent="0.15">
      <c r="B57" s="3" t="s">
        <v>55</v>
      </c>
      <c r="C57" s="5">
        <v>5</v>
      </c>
      <c r="D57" s="3" t="s">
        <v>323</v>
      </c>
      <c r="E57" s="3" t="s">
        <v>144</v>
      </c>
      <c r="F57" s="3" t="s">
        <v>14</v>
      </c>
      <c r="G57" s="3">
        <v>3</v>
      </c>
      <c r="I57" s="3" t="s">
        <v>144</v>
      </c>
      <c r="J57" s="71" t="s">
        <v>144</v>
      </c>
      <c r="K57" s="72">
        <v>3</v>
      </c>
      <c r="L57" s="72">
        <v>5</v>
      </c>
    </row>
    <row r="58" spans="2:15" x14ac:dyDescent="0.15">
      <c r="B58" s="3" t="s">
        <v>55</v>
      </c>
      <c r="C58" s="5">
        <v>6</v>
      </c>
      <c r="D58" s="3" t="s">
        <v>324</v>
      </c>
      <c r="E58" s="3" t="s">
        <v>122</v>
      </c>
      <c r="F58" s="3" t="s">
        <v>14</v>
      </c>
      <c r="G58" s="3">
        <v>3</v>
      </c>
      <c r="I58" s="3" t="s">
        <v>122</v>
      </c>
      <c r="J58" s="71" t="s">
        <v>122</v>
      </c>
      <c r="K58" s="72">
        <v>3</v>
      </c>
      <c r="L58" s="72">
        <v>3</v>
      </c>
    </row>
    <row r="59" spans="2:15" x14ac:dyDescent="0.15">
      <c r="B59" s="3" t="s">
        <v>55</v>
      </c>
      <c r="C59" s="5">
        <v>7</v>
      </c>
      <c r="D59" s="3" t="s">
        <v>325</v>
      </c>
      <c r="E59" s="3" t="s">
        <v>136</v>
      </c>
      <c r="F59" s="3" t="s">
        <v>14</v>
      </c>
      <c r="G59" s="3">
        <v>2</v>
      </c>
      <c r="I59" s="3" t="s">
        <v>136</v>
      </c>
      <c r="J59" s="71" t="s">
        <v>136</v>
      </c>
      <c r="K59" s="72">
        <v>2</v>
      </c>
      <c r="L59" s="72">
        <v>4</v>
      </c>
    </row>
    <row r="60" spans="2:15" x14ac:dyDescent="0.15">
      <c r="I60" s="68" t="s">
        <v>113</v>
      </c>
      <c r="J60" s="68" t="s">
        <v>113</v>
      </c>
      <c r="K60" s="69">
        <v>2</v>
      </c>
      <c r="L60" s="69">
        <v>2</v>
      </c>
      <c r="O60" s="48" t="s">
        <v>378</v>
      </c>
    </row>
    <row r="61" spans="2:15" x14ac:dyDescent="0.15">
      <c r="I61" s="68" t="s">
        <v>128</v>
      </c>
      <c r="J61" s="68" t="s">
        <v>128</v>
      </c>
      <c r="K61" s="69">
        <v>2</v>
      </c>
      <c r="L61" s="69">
        <v>3</v>
      </c>
      <c r="O61" s="48" t="s">
        <v>379</v>
      </c>
    </row>
    <row r="62" spans="2:15" x14ac:dyDescent="0.15">
      <c r="I62" s="68" t="s">
        <v>129</v>
      </c>
      <c r="J62" s="68" t="s">
        <v>129</v>
      </c>
      <c r="K62" s="69">
        <v>2</v>
      </c>
      <c r="L62" s="69">
        <v>4</v>
      </c>
      <c r="O62" s="48" t="s">
        <v>378</v>
      </c>
    </row>
    <row r="63" spans="2:15" x14ac:dyDescent="0.15">
      <c r="I63" s="68" t="s">
        <v>131</v>
      </c>
      <c r="J63" s="68" t="s">
        <v>131</v>
      </c>
      <c r="K63" s="69">
        <v>3</v>
      </c>
      <c r="L63" s="69">
        <v>4</v>
      </c>
      <c r="O63" s="48" t="s">
        <v>378</v>
      </c>
    </row>
    <row r="64" spans="2:15" x14ac:dyDescent="0.15">
      <c r="I64" s="68" t="s">
        <v>132</v>
      </c>
      <c r="J64" s="68" t="s">
        <v>132</v>
      </c>
      <c r="K64" s="69">
        <v>2</v>
      </c>
      <c r="L64" s="69">
        <v>4</v>
      </c>
      <c r="O64" s="48" t="s">
        <v>378</v>
      </c>
    </row>
    <row r="65" spans="2:15" x14ac:dyDescent="0.15">
      <c r="I65" s="68" t="s">
        <v>133</v>
      </c>
      <c r="J65" s="68" t="s">
        <v>133</v>
      </c>
      <c r="K65" s="69">
        <v>3</v>
      </c>
      <c r="L65" s="69">
        <v>4</v>
      </c>
      <c r="O65" s="48" t="s">
        <v>378</v>
      </c>
    </row>
    <row r="66" spans="2:15" x14ac:dyDescent="0.15">
      <c r="I66" s="68" t="s">
        <v>134</v>
      </c>
      <c r="J66" s="68" t="s">
        <v>134</v>
      </c>
      <c r="K66" s="69">
        <v>3</v>
      </c>
      <c r="L66" s="69">
        <v>4</v>
      </c>
      <c r="O66" s="48" t="s">
        <v>378</v>
      </c>
    </row>
    <row r="69" spans="2:15" x14ac:dyDescent="0.15">
      <c r="B69" s="1" t="s">
        <v>380</v>
      </c>
    </row>
    <row r="70" spans="2:15" x14ac:dyDescent="0.15">
      <c r="B70" s="61" t="s">
        <v>0</v>
      </c>
      <c r="C70" s="61" t="s">
        <v>1</v>
      </c>
      <c r="D70" s="61" t="s">
        <v>2</v>
      </c>
      <c r="E70" s="61" t="s">
        <v>3</v>
      </c>
      <c r="F70" s="61" t="s">
        <v>4</v>
      </c>
      <c r="G70" s="61" t="s">
        <v>5</v>
      </c>
      <c r="I70" s="61" t="s">
        <v>396</v>
      </c>
      <c r="K70" s="125" t="s">
        <v>393</v>
      </c>
      <c r="L70" s="125"/>
      <c r="M70" s="126" t="s">
        <v>394</v>
      </c>
      <c r="N70" s="126"/>
    </row>
    <row r="71" spans="2:15" x14ac:dyDescent="0.15">
      <c r="B71" s="52" t="s">
        <v>6</v>
      </c>
      <c r="C71" s="53">
        <v>1</v>
      </c>
      <c r="D71" s="54" t="s">
        <v>284</v>
      </c>
      <c r="E71" s="54" t="s">
        <v>285</v>
      </c>
      <c r="F71" s="54" t="s">
        <v>9</v>
      </c>
      <c r="G71" s="54">
        <v>3</v>
      </c>
      <c r="I71" s="54" t="s">
        <v>285</v>
      </c>
      <c r="J71" s="63" t="str">
        <f>E71</f>
        <v>Kalkulus Variabel Tunggal</v>
      </c>
      <c r="K71" s="50">
        <v>3</v>
      </c>
      <c r="L71" s="50">
        <v>1</v>
      </c>
    </row>
    <row r="72" spans="2:15" x14ac:dyDescent="0.15">
      <c r="B72" s="55" t="s">
        <v>6</v>
      </c>
      <c r="C72" s="56">
        <v>2</v>
      </c>
      <c r="D72" s="57" t="s">
        <v>286</v>
      </c>
      <c r="E72" s="57" t="s">
        <v>110</v>
      </c>
      <c r="F72" s="57" t="s">
        <v>9</v>
      </c>
      <c r="G72" s="57">
        <v>3</v>
      </c>
      <c r="I72" s="57" t="s">
        <v>110</v>
      </c>
      <c r="J72" s="63" t="s">
        <v>110</v>
      </c>
      <c r="K72" s="50">
        <v>3</v>
      </c>
      <c r="L72" s="50">
        <v>1</v>
      </c>
    </row>
    <row r="73" spans="2:15" x14ac:dyDescent="0.15">
      <c r="B73" s="55" t="s">
        <v>6</v>
      </c>
      <c r="C73" s="56">
        <v>3</v>
      </c>
      <c r="D73" s="57" t="s">
        <v>287</v>
      </c>
      <c r="E73" s="57" t="s">
        <v>288</v>
      </c>
      <c r="F73" s="57" t="s">
        <v>9</v>
      </c>
      <c r="G73" s="57">
        <v>2</v>
      </c>
      <c r="I73" s="106" t="s">
        <v>288</v>
      </c>
      <c r="J73" s="73" t="str">
        <f>E73</f>
        <v>Teori Vektor dan Matriks</v>
      </c>
      <c r="K73" s="107"/>
      <c r="L73" s="107"/>
      <c r="M73" s="74">
        <v>2</v>
      </c>
      <c r="N73" s="74">
        <v>1</v>
      </c>
    </row>
    <row r="74" spans="2:15" x14ac:dyDescent="0.15">
      <c r="B74" s="55" t="s">
        <v>6</v>
      </c>
      <c r="C74" s="56">
        <v>4</v>
      </c>
      <c r="D74" s="57" t="s">
        <v>289</v>
      </c>
      <c r="E74" s="57" t="s">
        <v>290</v>
      </c>
      <c r="F74" s="57" t="s">
        <v>9</v>
      </c>
      <c r="G74" s="57">
        <v>2</v>
      </c>
      <c r="I74" s="57" t="s">
        <v>290</v>
      </c>
      <c r="J74" s="63" t="str">
        <f>E74</f>
        <v>Fisika Mekanika Klasik</v>
      </c>
      <c r="K74" s="50">
        <f>G74</f>
        <v>2</v>
      </c>
      <c r="L74" s="50">
        <v>1</v>
      </c>
    </row>
    <row r="75" spans="2:15" x14ac:dyDescent="0.15">
      <c r="B75" s="55" t="s">
        <v>6</v>
      </c>
      <c r="C75" s="56">
        <v>5</v>
      </c>
      <c r="D75" s="57" t="s">
        <v>291</v>
      </c>
      <c r="E75" s="57" t="s">
        <v>292</v>
      </c>
      <c r="F75" s="57" t="s">
        <v>9</v>
      </c>
      <c r="G75" s="57">
        <v>2</v>
      </c>
      <c r="I75" s="57" t="s">
        <v>292</v>
      </c>
      <c r="J75" s="63" t="str">
        <f t="shared" ref="J75:J77" si="4">E75</f>
        <v>Fisika Fluida, Kalor dan Gelombang</v>
      </c>
      <c r="K75" s="50">
        <f t="shared" ref="K75:K77" si="5">G75</f>
        <v>2</v>
      </c>
      <c r="L75" s="50">
        <v>1</v>
      </c>
    </row>
    <row r="76" spans="2:15" x14ac:dyDescent="0.15">
      <c r="B76" s="55" t="s">
        <v>6</v>
      </c>
      <c r="C76" s="56">
        <v>6</v>
      </c>
      <c r="D76" s="57" t="s">
        <v>293</v>
      </c>
      <c r="E76" s="57" t="s">
        <v>111</v>
      </c>
      <c r="F76" s="57" t="s">
        <v>14</v>
      </c>
      <c r="G76" s="57">
        <v>3</v>
      </c>
      <c r="I76" s="57" t="s">
        <v>111</v>
      </c>
      <c r="J76" s="63" t="str">
        <f t="shared" si="4"/>
        <v>Pemrograman Dasar</v>
      </c>
      <c r="K76" s="50">
        <f t="shared" si="5"/>
        <v>3</v>
      </c>
      <c r="L76" s="50">
        <v>1</v>
      </c>
    </row>
    <row r="77" spans="2:15" x14ac:dyDescent="0.15">
      <c r="B77" s="55" t="s">
        <v>6</v>
      </c>
      <c r="C77" s="56">
        <v>7</v>
      </c>
      <c r="D77" s="57" t="s">
        <v>294</v>
      </c>
      <c r="E77" s="57" t="s">
        <v>295</v>
      </c>
      <c r="F77" s="57" t="s">
        <v>24</v>
      </c>
      <c r="G77" s="57">
        <v>2</v>
      </c>
      <c r="I77" s="57" t="s">
        <v>295</v>
      </c>
      <c r="J77" s="63" t="str">
        <f t="shared" si="4"/>
        <v>Manajemen Industri</v>
      </c>
      <c r="K77" s="50">
        <f t="shared" si="5"/>
        <v>2</v>
      </c>
      <c r="L77" s="50">
        <v>7</v>
      </c>
    </row>
    <row r="78" spans="2:15" x14ac:dyDescent="0.15">
      <c r="B78" s="58" t="s">
        <v>21</v>
      </c>
      <c r="C78" s="59">
        <v>1</v>
      </c>
      <c r="D78" s="60" t="s">
        <v>296</v>
      </c>
      <c r="E78" s="60" t="s">
        <v>119</v>
      </c>
      <c r="F78" s="60" t="s">
        <v>24</v>
      </c>
      <c r="G78" s="60">
        <v>2</v>
      </c>
      <c r="I78" s="60" t="s">
        <v>119</v>
      </c>
      <c r="J78" s="63" t="s">
        <v>119</v>
      </c>
      <c r="K78" s="50">
        <v>3</v>
      </c>
      <c r="L78" s="50">
        <v>2</v>
      </c>
    </row>
    <row r="79" spans="2:15" x14ac:dyDescent="0.15">
      <c r="B79" s="58" t="s">
        <v>21</v>
      </c>
      <c r="C79" s="59">
        <v>2</v>
      </c>
      <c r="D79" s="60" t="s">
        <v>297</v>
      </c>
      <c r="E79" s="60" t="s">
        <v>116</v>
      </c>
      <c r="F79" s="60" t="s">
        <v>9</v>
      </c>
      <c r="G79" s="60">
        <v>3</v>
      </c>
      <c r="I79" s="60" t="s">
        <v>116</v>
      </c>
      <c r="J79" s="63" t="s">
        <v>116</v>
      </c>
      <c r="K79" s="50">
        <v>3</v>
      </c>
      <c r="L79" s="50">
        <v>2</v>
      </c>
    </row>
    <row r="80" spans="2:15" x14ac:dyDescent="0.15">
      <c r="B80" s="58" t="s">
        <v>21</v>
      </c>
      <c r="C80" s="59">
        <v>3</v>
      </c>
      <c r="D80" s="60" t="s">
        <v>298</v>
      </c>
      <c r="E80" s="60" t="s">
        <v>299</v>
      </c>
      <c r="F80" s="60" t="s">
        <v>9</v>
      </c>
      <c r="G80" s="60">
        <v>3</v>
      </c>
      <c r="I80" s="106" t="s">
        <v>299</v>
      </c>
      <c r="J80" s="73" t="str">
        <f>E80</f>
        <v>Analisis Variabel Kompleks</v>
      </c>
      <c r="K80" s="107"/>
      <c r="L80" s="107"/>
      <c r="M80" s="74">
        <v>3</v>
      </c>
      <c r="N80" s="74">
        <v>2</v>
      </c>
    </row>
    <row r="81" spans="2:14" x14ac:dyDescent="0.15">
      <c r="B81" s="58" t="s">
        <v>21</v>
      </c>
      <c r="C81" s="59">
        <v>4</v>
      </c>
      <c r="D81" s="60" t="s">
        <v>300</v>
      </c>
      <c r="E81" s="60" t="s">
        <v>301</v>
      </c>
      <c r="F81" s="60" t="s">
        <v>9</v>
      </c>
      <c r="G81" s="60">
        <v>3</v>
      </c>
      <c r="I81" s="60" t="s">
        <v>301</v>
      </c>
      <c r="J81" s="63" t="str">
        <f>E81</f>
        <v>Aljabar Linear</v>
      </c>
      <c r="K81" s="50">
        <v>3</v>
      </c>
      <c r="L81" s="50">
        <v>1</v>
      </c>
    </row>
    <row r="82" spans="2:14" x14ac:dyDescent="0.15">
      <c r="B82" s="58" t="s">
        <v>21</v>
      </c>
      <c r="C82" s="59">
        <v>5</v>
      </c>
      <c r="D82" s="60" t="s">
        <v>302</v>
      </c>
      <c r="E82" s="60" t="s">
        <v>112</v>
      </c>
      <c r="F82" s="60" t="s">
        <v>9</v>
      </c>
      <c r="G82" s="60">
        <v>2</v>
      </c>
      <c r="I82" s="60" t="s">
        <v>112</v>
      </c>
      <c r="J82" s="63" t="s">
        <v>112</v>
      </c>
      <c r="K82" s="50">
        <v>2</v>
      </c>
      <c r="L82" s="50">
        <v>1</v>
      </c>
    </row>
    <row r="83" spans="2:14" x14ac:dyDescent="0.15">
      <c r="B83" s="58" t="s">
        <v>21</v>
      </c>
      <c r="C83" s="59">
        <v>6</v>
      </c>
      <c r="D83" s="60" t="s">
        <v>303</v>
      </c>
      <c r="E83" s="60" t="s">
        <v>304</v>
      </c>
      <c r="F83" s="60" t="s">
        <v>9</v>
      </c>
      <c r="G83" s="60">
        <v>3</v>
      </c>
      <c r="I83" s="106" t="s">
        <v>304</v>
      </c>
      <c r="J83" s="73" t="str">
        <f>E83</f>
        <v>Fisika Listrik dan Magnet</v>
      </c>
      <c r="K83" s="107"/>
      <c r="L83" s="107"/>
      <c r="M83" s="74">
        <v>3</v>
      </c>
      <c r="N83" s="74">
        <v>2</v>
      </c>
    </row>
    <row r="84" spans="2:14" x14ac:dyDescent="0.15">
      <c r="B84" s="58" t="s">
        <v>21</v>
      </c>
      <c r="C84" s="59">
        <v>7</v>
      </c>
      <c r="D84" s="60" t="s">
        <v>305</v>
      </c>
      <c r="E84" s="60" t="s">
        <v>114</v>
      </c>
      <c r="F84" s="60" t="s">
        <v>14</v>
      </c>
      <c r="G84" s="60">
        <v>3</v>
      </c>
      <c r="I84" s="60" t="s">
        <v>114</v>
      </c>
      <c r="J84" s="63" t="s">
        <v>114</v>
      </c>
      <c r="K84" s="50">
        <v>3</v>
      </c>
      <c r="L84" s="50">
        <v>2</v>
      </c>
    </row>
    <row r="85" spans="2:14" x14ac:dyDescent="0.15">
      <c r="B85" s="58" t="s">
        <v>21</v>
      </c>
      <c r="C85" s="59">
        <v>8</v>
      </c>
      <c r="D85" s="60" t="s">
        <v>306</v>
      </c>
      <c r="E85" s="60" t="s">
        <v>117</v>
      </c>
      <c r="F85" s="60" t="s">
        <v>14</v>
      </c>
      <c r="G85" s="60">
        <v>1</v>
      </c>
      <c r="I85" s="60" t="s">
        <v>117</v>
      </c>
      <c r="J85" s="63" t="s">
        <v>117</v>
      </c>
      <c r="K85" s="50">
        <v>1</v>
      </c>
      <c r="L85" s="50">
        <v>2</v>
      </c>
    </row>
    <row r="86" spans="2:14" x14ac:dyDescent="0.15">
      <c r="B86" s="2" t="s">
        <v>38</v>
      </c>
      <c r="C86" s="4">
        <v>1</v>
      </c>
      <c r="D86" s="2" t="s">
        <v>307</v>
      </c>
      <c r="E86" s="2" t="s">
        <v>126</v>
      </c>
      <c r="F86" s="2" t="s">
        <v>9</v>
      </c>
      <c r="G86" s="2">
        <v>3</v>
      </c>
      <c r="I86" s="2" t="s">
        <v>126</v>
      </c>
      <c r="J86" s="63" t="s">
        <v>126</v>
      </c>
      <c r="K86" s="50">
        <v>3</v>
      </c>
      <c r="L86" s="50">
        <v>3</v>
      </c>
    </row>
    <row r="87" spans="2:14" x14ac:dyDescent="0.15">
      <c r="B87" s="2" t="s">
        <v>38</v>
      </c>
      <c r="C87" s="4">
        <v>2</v>
      </c>
      <c r="D87" s="2" t="s">
        <v>308</v>
      </c>
      <c r="E87" s="2" t="s">
        <v>124</v>
      </c>
      <c r="F87" s="2" t="s">
        <v>14</v>
      </c>
      <c r="G87" s="2">
        <v>3</v>
      </c>
      <c r="I87" s="2" t="s">
        <v>124</v>
      </c>
      <c r="J87" s="63" t="s">
        <v>124</v>
      </c>
      <c r="K87" s="50">
        <v>3</v>
      </c>
      <c r="L87" s="50">
        <v>3</v>
      </c>
    </row>
    <row r="88" spans="2:14" x14ac:dyDescent="0.15">
      <c r="B88" s="2" t="s">
        <v>38</v>
      </c>
      <c r="C88" s="4">
        <v>3</v>
      </c>
      <c r="D88" s="2" t="s">
        <v>309</v>
      </c>
      <c r="E88" s="2" t="s">
        <v>118</v>
      </c>
      <c r="F88" s="2" t="s">
        <v>9</v>
      </c>
      <c r="G88" s="2">
        <v>2</v>
      </c>
      <c r="I88" s="2" t="s">
        <v>118</v>
      </c>
      <c r="J88" s="63" t="s">
        <v>118</v>
      </c>
      <c r="K88" s="50">
        <v>2</v>
      </c>
      <c r="L88" s="50">
        <v>2</v>
      </c>
    </row>
    <row r="89" spans="2:14" x14ac:dyDescent="0.15">
      <c r="B89" s="2" t="s">
        <v>38</v>
      </c>
      <c r="C89" s="4">
        <v>4</v>
      </c>
      <c r="D89" s="2" t="s">
        <v>310</v>
      </c>
      <c r="E89" s="2" t="s">
        <v>127</v>
      </c>
      <c r="F89" s="2" t="s">
        <v>14</v>
      </c>
      <c r="G89" s="2">
        <v>1</v>
      </c>
      <c r="I89" s="2" t="s">
        <v>127</v>
      </c>
      <c r="J89" s="63" t="s">
        <v>127</v>
      </c>
      <c r="K89" s="50">
        <v>1</v>
      </c>
      <c r="L89" s="50">
        <v>3</v>
      </c>
    </row>
    <row r="90" spans="2:14" x14ac:dyDescent="0.15">
      <c r="B90" s="2" t="s">
        <v>38</v>
      </c>
      <c r="C90" s="4">
        <v>5</v>
      </c>
      <c r="D90" s="2" t="s">
        <v>311</v>
      </c>
      <c r="E90" s="2" t="s">
        <v>121</v>
      </c>
      <c r="F90" s="2" t="s">
        <v>14</v>
      </c>
      <c r="G90" s="2">
        <v>3</v>
      </c>
      <c r="I90" s="2" t="s">
        <v>121</v>
      </c>
      <c r="J90" s="63" t="s">
        <v>121</v>
      </c>
      <c r="K90" s="50">
        <v>3</v>
      </c>
      <c r="L90" s="50">
        <v>3</v>
      </c>
    </row>
    <row r="91" spans="2:14" x14ac:dyDescent="0.15">
      <c r="B91" s="2" t="s">
        <v>38</v>
      </c>
      <c r="C91" s="4">
        <v>6</v>
      </c>
      <c r="D91" s="2" t="s">
        <v>312</v>
      </c>
      <c r="E91" s="2" t="s">
        <v>313</v>
      </c>
      <c r="F91" s="2" t="s">
        <v>14</v>
      </c>
      <c r="G91" s="2">
        <v>3</v>
      </c>
      <c r="I91" s="2" t="s">
        <v>313</v>
      </c>
      <c r="J91" s="63" t="s">
        <v>135</v>
      </c>
      <c r="K91" s="50">
        <v>3</v>
      </c>
      <c r="L91" s="50">
        <v>4</v>
      </c>
    </row>
    <row r="92" spans="2:14" x14ac:dyDescent="0.15">
      <c r="B92" s="2" t="s">
        <v>38</v>
      </c>
      <c r="C92" s="4">
        <v>7</v>
      </c>
      <c r="D92" s="2" t="s">
        <v>314</v>
      </c>
      <c r="E92" s="2" t="s">
        <v>125</v>
      </c>
      <c r="F92" s="2" t="s">
        <v>14</v>
      </c>
      <c r="G92" s="2">
        <v>3</v>
      </c>
      <c r="I92" s="2" t="s">
        <v>125</v>
      </c>
      <c r="J92" s="63" t="s">
        <v>125</v>
      </c>
      <c r="K92" s="50">
        <v>3</v>
      </c>
      <c r="L92" s="50">
        <v>3</v>
      </c>
    </row>
    <row r="93" spans="2:14" x14ac:dyDescent="0.15">
      <c r="B93" s="2" t="s">
        <v>38</v>
      </c>
      <c r="C93" s="4">
        <v>8</v>
      </c>
      <c r="D93" s="2" t="s">
        <v>315</v>
      </c>
      <c r="E93" s="2" t="s">
        <v>115</v>
      </c>
      <c r="F93" s="2" t="s">
        <v>14</v>
      </c>
      <c r="G93" s="2">
        <v>3</v>
      </c>
      <c r="I93" s="2" t="s">
        <v>115</v>
      </c>
      <c r="J93" s="63" t="s">
        <v>115</v>
      </c>
      <c r="K93" s="50">
        <v>3</v>
      </c>
      <c r="L93" s="50">
        <v>2</v>
      </c>
    </row>
    <row r="94" spans="2:14" x14ac:dyDescent="0.15">
      <c r="B94" s="3" t="s">
        <v>55</v>
      </c>
      <c r="C94" s="5">
        <v>1</v>
      </c>
      <c r="D94" s="3" t="s">
        <v>316</v>
      </c>
      <c r="E94" s="3" t="s">
        <v>317</v>
      </c>
      <c r="F94" s="3" t="s">
        <v>14</v>
      </c>
      <c r="G94" s="3">
        <v>3</v>
      </c>
      <c r="I94" s="3" t="s">
        <v>317</v>
      </c>
      <c r="J94" s="71" t="s">
        <v>392</v>
      </c>
      <c r="K94" s="72">
        <v>3</v>
      </c>
      <c r="L94" s="72">
        <v>5</v>
      </c>
    </row>
    <row r="95" spans="2:14" x14ac:dyDescent="0.15">
      <c r="B95" s="3" t="s">
        <v>55</v>
      </c>
      <c r="C95" s="5">
        <v>2</v>
      </c>
      <c r="D95" s="3" t="s">
        <v>318</v>
      </c>
      <c r="E95" s="3" t="s">
        <v>120</v>
      </c>
      <c r="F95" s="3" t="s">
        <v>14</v>
      </c>
      <c r="G95" s="3">
        <v>3</v>
      </c>
      <c r="I95" s="3" t="s">
        <v>120</v>
      </c>
      <c r="J95" s="71" t="s">
        <v>120</v>
      </c>
      <c r="K95" s="72">
        <v>3</v>
      </c>
      <c r="L95" s="72">
        <v>2</v>
      </c>
    </row>
    <row r="96" spans="2:14" x14ac:dyDescent="0.15">
      <c r="B96" s="3" t="s">
        <v>55</v>
      </c>
      <c r="C96" s="5">
        <v>3</v>
      </c>
      <c r="D96" s="3" t="s">
        <v>319</v>
      </c>
      <c r="E96" s="3" t="s">
        <v>320</v>
      </c>
      <c r="F96" s="3" t="s">
        <v>14</v>
      </c>
      <c r="G96" s="3">
        <v>2</v>
      </c>
      <c r="I96" s="3" t="s">
        <v>320</v>
      </c>
      <c r="J96" s="71" t="s">
        <v>109</v>
      </c>
      <c r="K96" s="72">
        <v>2</v>
      </c>
      <c r="L96" s="72">
        <v>1</v>
      </c>
    </row>
    <row r="97" spans="2:12" x14ac:dyDescent="0.15">
      <c r="B97" s="3" t="s">
        <v>55</v>
      </c>
      <c r="C97" s="5">
        <v>4</v>
      </c>
      <c r="D97" s="3" t="s">
        <v>321</v>
      </c>
      <c r="E97" s="3" t="s">
        <v>322</v>
      </c>
      <c r="F97" s="3" t="s">
        <v>14</v>
      </c>
      <c r="G97" s="3">
        <v>3</v>
      </c>
      <c r="I97" s="3" t="s">
        <v>322</v>
      </c>
      <c r="J97" s="71" t="s">
        <v>123</v>
      </c>
      <c r="K97" s="72">
        <v>3</v>
      </c>
      <c r="L97" s="72">
        <v>3</v>
      </c>
    </row>
    <row r="98" spans="2:12" x14ac:dyDescent="0.15">
      <c r="B98" s="3" t="s">
        <v>55</v>
      </c>
      <c r="C98" s="5">
        <v>5</v>
      </c>
      <c r="D98" s="3" t="s">
        <v>323</v>
      </c>
      <c r="E98" s="3" t="s">
        <v>144</v>
      </c>
      <c r="F98" s="3" t="s">
        <v>14</v>
      </c>
      <c r="G98" s="3">
        <v>3</v>
      </c>
      <c r="I98" s="3" t="s">
        <v>144</v>
      </c>
      <c r="J98" s="71" t="s">
        <v>144</v>
      </c>
      <c r="K98" s="72">
        <v>3</v>
      </c>
      <c r="L98" s="72">
        <v>5</v>
      </c>
    </row>
    <row r="99" spans="2:12" x14ac:dyDescent="0.15">
      <c r="B99" s="3" t="s">
        <v>55</v>
      </c>
      <c r="C99" s="5">
        <v>6</v>
      </c>
      <c r="D99" s="3" t="s">
        <v>324</v>
      </c>
      <c r="E99" s="3" t="s">
        <v>122</v>
      </c>
      <c r="F99" s="3" t="s">
        <v>14</v>
      </c>
      <c r="G99" s="3">
        <v>3</v>
      </c>
      <c r="I99" s="3" t="s">
        <v>122</v>
      </c>
      <c r="J99" s="71" t="s">
        <v>122</v>
      </c>
      <c r="K99" s="72">
        <v>3</v>
      </c>
      <c r="L99" s="72">
        <v>3</v>
      </c>
    </row>
    <row r="100" spans="2:12" x14ac:dyDescent="0.15">
      <c r="B100" s="3" t="s">
        <v>55</v>
      </c>
      <c r="C100" s="5">
        <v>7</v>
      </c>
      <c r="D100" s="3" t="s">
        <v>325</v>
      </c>
      <c r="E100" s="3" t="s">
        <v>136</v>
      </c>
      <c r="F100" s="3" t="s">
        <v>14</v>
      </c>
      <c r="G100" s="3">
        <v>2</v>
      </c>
      <c r="I100" s="3" t="s">
        <v>136</v>
      </c>
      <c r="J100" s="71" t="s">
        <v>136</v>
      </c>
      <c r="K100" s="72">
        <v>2</v>
      </c>
      <c r="L100" s="72">
        <v>4</v>
      </c>
    </row>
    <row r="101" spans="2:12" x14ac:dyDescent="0.15">
      <c r="B101" s="2" t="s">
        <v>71</v>
      </c>
      <c r="C101" s="4">
        <v>1</v>
      </c>
      <c r="D101" s="2" t="s">
        <v>326</v>
      </c>
      <c r="E101" s="2" t="s">
        <v>327</v>
      </c>
      <c r="F101" s="2" t="s">
        <v>14</v>
      </c>
      <c r="G101" s="2">
        <v>2</v>
      </c>
      <c r="I101" s="2" t="s">
        <v>327</v>
      </c>
      <c r="J101" s="63" t="s">
        <v>327</v>
      </c>
      <c r="K101" s="50">
        <v>2</v>
      </c>
      <c r="L101" s="50">
        <v>5</v>
      </c>
    </row>
    <row r="102" spans="2:12" x14ac:dyDescent="0.15">
      <c r="B102" s="2" t="s">
        <v>71</v>
      </c>
      <c r="C102" s="4">
        <v>2</v>
      </c>
      <c r="D102" s="2" t="s">
        <v>328</v>
      </c>
      <c r="E102" s="2" t="s">
        <v>128</v>
      </c>
      <c r="F102" s="2" t="s">
        <v>14</v>
      </c>
      <c r="G102" s="2">
        <v>3</v>
      </c>
      <c r="I102" s="2" t="s">
        <v>128</v>
      </c>
      <c r="J102" s="63" t="s">
        <v>128</v>
      </c>
      <c r="K102" s="50">
        <v>2</v>
      </c>
      <c r="L102" s="50">
        <v>3</v>
      </c>
    </row>
    <row r="103" spans="2:12" x14ac:dyDescent="0.15">
      <c r="B103" s="2" t="s">
        <v>71</v>
      </c>
      <c r="C103" s="4">
        <v>3</v>
      </c>
      <c r="D103" s="2" t="s">
        <v>329</v>
      </c>
      <c r="E103" s="2" t="s">
        <v>132</v>
      </c>
      <c r="F103" s="2" t="s">
        <v>14</v>
      </c>
      <c r="G103" s="2">
        <v>2</v>
      </c>
      <c r="I103" s="2" t="s">
        <v>132</v>
      </c>
      <c r="J103" s="63" t="s">
        <v>132</v>
      </c>
      <c r="K103" s="50">
        <v>2</v>
      </c>
      <c r="L103" s="50">
        <v>4</v>
      </c>
    </row>
    <row r="104" spans="2:12" x14ac:dyDescent="0.15">
      <c r="B104" s="2" t="s">
        <v>71</v>
      </c>
      <c r="C104" s="4">
        <v>4</v>
      </c>
      <c r="D104" s="2" t="s">
        <v>330</v>
      </c>
      <c r="E104" s="2" t="s">
        <v>134</v>
      </c>
      <c r="F104" s="2" t="s">
        <v>14</v>
      </c>
      <c r="G104" s="2">
        <v>3</v>
      </c>
      <c r="I104" s="2" t="s">
        <v>134</v>
      </c>
      <c r="J104" s="63" t="s">
        <v>134</v>
      </c>
      <c r="K104" s="50">
        <v>3</v>
      </c>
      <c r="L104" s="50">
        <v>4</v>
      </c>
    </row>
    <row r="105" spans="2:12" x14ac:dyDescent="0.15">
      <c r="B105" s="2" t="s">
        <v>71</v>
      </c>
      <c r="C105" s="4">
        <v>5</v>
      </c>
      <c r="D105" s="2" t="s">
        <v>331</v>
      </c>
      <c r="E105" s="2" t="s">
        <v>133</v>
      </c>
      <c r="F105" s="2" t="s">
        <v>14</v>
      </c>
      <c r="G105" s="2">
        <v>3</v>
      </c>
      <c r="I105" s="2" t="s">
        <v>133</v>
      </c>
      <c r="J105" s="63" t="s">
        <v>133</v>
      </c>
      <c r="K105" s="50">
        <v>3</v>
      </c>
      <c r="L105" s="50">
        <v>4</v>
      </c>
    </row>
    <row r="106" spans="2:12" x14ac:dyDescent="0.15">
      <c r="B106" s="2" t="s">
        <v>71</v>
      </c>
      <c r="C106" s="4">
        <v>6</v>
      </c>
      <c r="D106" s="2" t="s">
        <v>332</v>
      </c>
      <c r="E106" s="2" t="s">
        <v>131</v>
      </c>
      <c r="F106" s="2" t="s">
        <v>14</v>
      </c>
      <c r="G106" s="2">
        <v>3</v>
      </c>
      <c r="I106" s="2" t="s">
        <v>131</v>
      </c>
      <c r="J106" s="63" t="s">
        <v>131</v>
      </c>
      <c r="K106" s="50">
        <v>3</v>
      </c>
      <c r="L106" s="50">
        <v>4</v>
      </c>
    </row>
    <row r="107" spans="2:12" x14ac:dyDescent="0.15">
      <c r="B107" s="2" t="s">
        <v>71</v>
      </c>
      <c r="C107" s="4">
        <v>7</v>
      </c>
      <c r="D107" s="2" t="s">
        <v>333</v>
      </c>
      <c r="E107" s="2" t="s">
        <v>129</v>
      </c>
      <c r="F107" s="2" t="s">
        <v>14</v>
      </c>
      <c r="G107" s="2">
        <v>2</v>
      </c>
      <c r="I107" s="2" t="s">
        <v>129</v>
      </c>
      <c r="J107" s="63" t="s">
        <v>129</v>
      </c>
      <c r="K107" s="50">
        <v>3</v>
      </c>
      <c r="L107" s="50">
        <v>4</v>
      </c>
    </row>
    <row r="108" spans="2:12" x14ac:dyDescent="0.15">
      <c r="B108" s="2" t="s">
        <v>71</v>
      </c>
      <c r="C108" s="4">
        <v>8</v>
      </c>
      <c r="D108" s="2" t="s">
        <v>334</v>
      </c>
      <c r="E108" s="2" t="s">
        <v>147</v>
      </c>
      <c r="F108" s="2" t="s">
        <v>14</v>
      </c>
      <c r="G108" s="2">
        <v>3</v>
      </c>
      <c r="I108" s="2" t="s">
        <v>147</v>
      </c>
      <c r="J108" s="63" t="s">
        <v>381</v>
      </c>
      <c r="K108" s="50">
        <v>3</v>
      </c>
      <c r="L108" s="50">
        <v>7</v>
      </c>
    </row>
    <row r="109" spans="2:12" x14ac:dyDescent="0.15">
      <c r="B109" s="3" t="s">
        <v>85</v>
      </c>
      <c r="C109" s="5">
        <v>1</v>
      </c>
      <c r="D109" s="3" t="s">
        <v>335</v>
      </c>
      <c r="E109" s="3" t="s">
        <v>143</v>
      </c>
      <c r="F109" s="3" t="s">
        <v>14</v>
      </c>
      <c r="G109" s="3">
        <v>3</v>
      </c>
      <c r="I109" s="3" t="s">
        <v>143</v>
      </c>
      <c r="J109" s="71" t="s">
        <v>143</v>
      </c>
      <c r="K109" s="72">
        <v>3</v>
      </c>
      <c r="L109" s="72">
        <v>5</v>
      </c>
    </row>
    <row r="110" spans="2:12" x14ac:dyDescent="0.15">
      <c r="B110" s="3" t="s">
        <v>85</v>
      </c>
      <c r="C110" s="5">
        <v>2</v>
      </c>
      <c r="D110" s="3" t="s">
        <v>336</v>
      </c>
      <c r="E110" s="3" t="s">
        <v>153</v>
      </c>
      <c r="F110" s="3" t="s">
        <v>14</v>
      </c>
      <c r="G110" s="3">
        <v>2</v>
      </c>
      <c r="I110" s="3" t="s">
        <v>153</v>
      </c>
      <c r="J110" s="71" t="s">
        <v>153</v>
      </c>
      <c r="K110" s="72">
        <v>2</v>
      </c>
      <c r="L110" s="72">
        <v>7</v>
      </c>
    </row>
    <row r="111" spans="2:12" x14ac:dyDescent="0.15">
      <c r="B111" s="3" t="s">
        <v>85</v>
      </c>
      <c r="C111" s="5">
        <v>3</v>
      </c>
      <c r="D111" s="3" t="s">
        <v>337</v>
      </c>
      <c r="E111" s="3" t="s">
        <v>338</v>
      </c>
      <c r="F111" s="3" t="s">
        <v>14</v>
      </c>
      <c r="G111" s="3">
        <v>3</v>
      </c>
      <c r="I111" s="3" t="s">
        <v>338</v>
      </c>
      <c r="J111" s="71" t="s">
        <v>139</v>
      </c>
      <c r="K111" s="72">
        <v>3</v>
      </c>
      <c r="L111" s="72">
        <v>5</v>
      </c>
    </row>
    <row r="112" spans="2:12" x14ac:dyDescent="0.15">
      <c r="B112" s="3" t="s">
        <v>85</v>
      </c>
      <c r="C112" s="5">
        <v>4</v>
      </c>
      <c r="D112" s="3" t="s">
        <v>339</v>
      </c>
      <c r="E112" s="3" t="s">
        <v>231</v>
      </c>
      <c r="F112" s="3" t="s">
        <v>14</v>
      </c>
      <c r="G112" s="3">
        <v>2</v>
      </c>
      <c r="I112" s="3" t="s">
        <v>231</v>
      </c>
      <c r="J112" s="71" t="s">
        <v>231</v>
      </c>
      <c r="K112" s="72">
        <v>3</v>
      </c>
      <c r="L112" s="72">
        <v>6</v>
      </c>
    </row>
    <row r="113" spans="2:15" x14ac:dyDescent="0.15">
      <c r="B113" s="3" t="s">
        <v>85</v>
      </c>
      <c r="C113" s="5">
        <v>5</v>
      </c>
      <c r="D113" s="3" t="s">
        <v>340</v>
      </c>
      <c r="E113" s="3" t="s">
        <v>142</v>
      </c>
      <c r="F113" s="3" t="s">
        <v>24</v>
      </c>
      <c r="G113" s="3">
        <v>2</v>
      </c>
      <c r="I113" s="3" t="s">
        <v>142</v>
      </c>
      <c r="J113" s="71" t="s">
        <v>142</v>
      </c>
      <c r="K113" s="72">
        <v>2</v>
      </c>
      <c r="L113" s="72">
        <v>5</v>
      </c>
    </row>
    <row r="114" spans="2:15" x14ac:dyDescent="0.15">
      <c r="B114" s="3" t="s">
        <v>85</v>
      </c>
      <c r="C114" s="5">
        <v>6</v>
      </c>
      <c r="D114" s="3" t="s">
        <v>341</v>
      </c>
      <c r="E114" s="3" t="s">
        <v>342</v>
      </c>
      <c r="F114" s="3" t="s">
        <v>24</v>
      </c>
      <c r="G114" s="3">
        <v>2</v>
      </c>
      <c r="I114" s="3" t="s">
        <v>342</v>
      </c>
      <c r="J114" s="71" t="s">
        <v>137</v>
      </c>
      <c r="K114" s="72">
        <v>2</v>
      </c>
      <c r="L114" s="72">
        <v>5</v>
      </c>
    </row>
    <row r="115" spans="2:15" x14ac:dyDescent="0.15">
      <c r="B115" s="3" t="s">
        <v>85</v>
      </c>
      <c r="C115" s="5">
        <v>7</v>
      </c>
      <c r="D115" s="3" t="s">
        <v>343</v>
      </c>
      <c r="E115" s="3" t="s">
        <v>141</v>
      </c>
      <c r="F115" s="3" t="s">
        <v>24</v>
      </c>
      <c r="G115" s="3">
        <v>2</v>
      </c>
      <c r="I115" s="3" t="s">
        <v>141</v>
      </c>
      <c r="J115" s="71" t="s">
        <v>141</v>
      </c>
      <c r="K115" s="72">
        <v>2</v>
      </c>
      <c r="L115" s="72">
        <v>5</v>
      </c>
    </row>
    <row r="116" spans="2:15" x14ac:dyDescent="0.15">
      <c r="B116" s="3" t="s">
        <v>85</v>
      </c>
      <c r="C116" s="5">
        <v>8</v>
      </c>
      <c r="D116" s="3" t="s">
        <v>344</v>
      </c>
      <c r="E116" s="3" t="s">
        <v>113</v>
      </c>
      <c r="F116" s="3" t="s">
        <v>24</v>
      </c>
      <c r="G116" s="3">
        <v>2</v>
      </c>
      <c r="I116" s="3" t="s">
        <v>113</v>
      </c>
      <c r="J116" s="71" t="s">
        <v>113</v>
      </c>
      <c r="K116" s="72">
        <v>2</v>
      </c>
      <c r="L116" s="72">
        <v>2</v>
      </c>
    </row>
    <row r="117" spans="2:15" x14ac:dyDescent="0.15">
      <c r="I117" s="75" t="s">
        <v>247</v>
      </c>
      <c r="J117" s="75" t="s">
        <v>247</v>
      </c>
      <c r="K117" s="76">
        <v>6</v>
      </c>
      <c r="L117" s="76">
        <v>6</v>
      </c>
    </row>
    <row r="118" spans="2:15" x14ac:dyDescent="0.15">
      <c r="I118" s="75" t="s">
        <v>245</v>
      </c>
      <c r="J118" s="75" t="s">
        <v>245</v>
      </c>
      <c r="K118" s="76">
        <v>6</v>
      </c>
      <c r="L118" s="76">
        <v>6</v>
      </c>
    </row>
    <row r="119" spans="2:15" x14ac:dyDescent="0.15">
      <c r="I119" s="75" t="s">
        <v>382</v>
      </c>
      <c r="J119" s="75" t="s">
        <v>382</v>
      </c>
      <c r="K119" s="76">
        <v>7</v>
      </c>
      <c r="L119" s="76">
        <v>7</v>
      </c>
    </row>
    <row r="120" spans="2:15" x14ac:dyDescent="0.15">
      <c r="I120" s="68" t="s">
        <v>234</v>
      </c>
      <c r="J120" s="68" t="s">
        <v>234</v>
      </c>
      <c r="K120" s="69"/>
      <c r="L120" s="69"/>
      <c r="M120">
        <v>3</v>
      </c>
      <c r="O120" s="1" t="s">
        <v>383</v>
      </c>
    </row>
    <row r="121" spans="2:15" x14ac:dyDescent="0.15">
      <c r="I121" s="68" t="s">
        <v>384</v>
      </c>
      <c r="J121" s="68" t="s">
        <v>384</v>
      </c>
      <c r="K121" s="69"/>
      <c r="L121" s="69"/>
      <c r="M121">
        <v>3</v>
      </c>
      <c r="O121" s="1" t="s">
        <v>383</v>
      </c>
    </row>
    <row r="122" spans="2:15" x14ac:dyDescent="0.15">
      <c r="I122" s="68" t="s">
        <v>263</v>
      </c>
      <c r="J122" s="68" t="s">
        <v>263</v>
      </c>
      <c r="K122" s="69"/>
      <c r="L122" s="69"/>
      <c r="M122">
        <v>3</v>
      </c>
      <c r="O122" s="1" t="s">
        <v>383</v>
      </c>
    </row>
    <row r="123" spans="2:15" x14ac:dyDescent="0.15">
      <c r="I123" s="68" t="s">
        <v>270</v>
      </c>
      <c r="J123" s="68" t="s">
        <v>270</v>
      </c>
      <c r="K123" s="69"/>
      <c r="L123" s="69"/>
      <c r="M123">
        <v>3</v>
      </c>
      <c r="O123" s="1" t="s">
        <v>383</v>
      </c>
    </row>
    <row r="124" spans="2:15" x14ac:dyDescent="0.15">
      <c r="I124" s="68" t="s">
        <v>276</v>
      </c>
      <c r="J124" s="68" t="s">
        <v>276</v>
      </c>
      <c r="K124" s="69"/>
      <c r="L124" s="69"/>
      <c r="M124">
        <v>3</v>
      </c>
      <c r="O124" s="1" t="s">
        <v>383</v>
      </c>
    </row>
    <row r="125" spans="2:15" x14ac:dyDescent="0.15">
      <c r="K125">
        <f>SUM(K71:K124)</f>
        <v>129</v>
      </c>
    </row>
    <row r="126" spans="2:15" x14ac:dyDescent="0.15">
      <c r="B126" s="1" t="s">
        <v>385</v>
      </c>
    </row>
    <row r="127" spans="2:15" x14ac:dyDescent="0.15">
      <c r="B127" s="61" t="s">
        <v>0</v>
      </c>
      <c r="C127" s="61" t="s">
        <v>1</v>
      </c>
      <c r="D127" s="61" t="s">
        <v>2</v>
      </c>
      <c r="E127" s="61" t="s">
        <v>3</v>
      </c>
      <c r="F127" s="61" t="s">
        <v>4</v>
      </c>
      <c r="G127" s="61" t="s">
        <v>5</v>
      </c>
      <c r="I127" s="61" t="s">
        <v>396</v>
      </c>
      <c r="K127" s="125" t="s">
        <v>393</v>
      </c>
      <c r="L127" s="125"/>
      <c r="M127" s="126" t="s">
        <v>394</v>
      </c>
      <c r="N127" s="126"/>
    </row>
    <row r="128" spans="2:15" x14ac:dyDescent="0.15">
      <c r="B128" s="52" t="s">
        <v>6</v>
      </c>
      <c r="C128" s="53">
        <v>1</v>
      </c>
      <c r="D128" s="54" t="s">
        <v>284</v>
      </c>
      <c r="E128" s="54" t="s">
        <v>285</v>
      </c>
      <c r="F128" s="54" t="s">
        <v>9</v>
      </c>
      <c r="G128" s="54">
        <v>3</v>
      </c>
      <c r="I128" s="54" t="s">
        <v>285</v>
      </c>
      <c r="J128" s="63" t="str">
        <f>E128</f>
        <v>Kalkulus Variabel Tunggal</v>
      </c>
      <c r="K128" s="50">
        <v>3</v>
      </c>
      <c r="L128" s="50">
        <v>1</v>
      </c>
    </row>
    <row r="129" spans="2:14" x14ac:dyDescent="0.15">
      <c r="B129" s="55" t="s">
        <v>6</v>
      </c>
      <c r="C129" s="56">
        <v>2</v>
      </c>
      <c r="D129" s="57" t="s">
        <v>286</v>
      </c>
      <c r="E129" s="57" t="s">
        <v>110</v>
      </c>
      <c r="F129" s="57" t="s">
        <v>9</v>
      </c>
      <c r="G129" s="57">
        <v>3</v>
      </c>
      <c r="I129" s="57" t="s">
        <v>110</v>
      </c>
      <c r="J129" s="63" t="s">
        <v>110</v>
      </c>
      <c r="K129" s="50">
        <v>3</v>
      </c>
      <c r="L129" s="50">
        <v>1</v>
      </c>
    </row>
    <row r="130" spans="2:14" x14ac:dyDescent="0.15">
      <c r="B130" s="55" t="s">
        <v>6</v>
      </c>
      <c r="C130" s="56">
        <v>3</v>
      </c>
      <c r="D130" s="57" t="s">
        <v>287</v>
      </c>
      <c r="E130" s="57" t="s">
        <v>288</v>
      </c>
      <c r="F130" s="57" t="s">
        <v>9</v>
      </c>
      <c r="G130" s="57">
        <v>2</v>
      </c>
      <c r="I130" s="106" t="s">
        <v>288</v>
      </c>
      <c r="J130" s="73" t="str">
        <f>E130</f>
        <v>Teori Vektor dan Matriks</v>
      </c>
      <c r="K130" s="107"/>
      <c r="L130" s="107"/>
      <c r="M130" s="74">
        <v>2</v>
      </c>
      <c r="N130" s="74">
        <v>1</v>
      </c>
    </row>
    <row r="131" spans="2:14" x14ac:dyDescent="0.15">
      <c r="B131" s="55" t="s">
        <v>6</v>
      </c>
      <c r="C131" s="56">
        <v>4</v>
      </c>
      <c r="D131" s="57" t="s">
        <v>289</v>
      </c>
      <c r="E131" s="57" t="s">
        <v>290</v>
      </c>
      <c r="F131" s="57" t="s">
        <v>9</v>
      </c>
      <c r="G131" s="57">
        <v>2</v>
      </c>
      <c r="I131" s="57" t="s">
        <v>290</v>
      </c>
      <c r="J131" s="63" t="str">
        <f>E131</f>
        <v>Fisika Mekanika Klasik</v>
      </c>
      <c r="K131" s="50">
        <f>G131</f>
        <v>2</v>
      </c>
      <c r="L131" s="50">
        <v>1</v>
      </c>
    </row>
    <row r="132" spans="2:14" x14ac:dyDescent="0.15">
      <c r="B132" s="55" t="s">
        <v>6</v>
      </c>
      <c r="C132" s="56">
        <v>5</v>
      </c>
      <c r="D132" s="57" t="s">
        <v>291</v>
      </c>
      <c r="E132" s="57" t="s">
        <v>292</v>
      </c>
      <c r="F132" s="57" t="s">
        <v>9</v>
      </c>
      <c r="G132" s="57">
        <v>2</v>
      </c>
      <c r="I132" s="57" t="s">
        <v>292</v>
      </c>
      <c r="J132" s="63" t="str">
        <f t="shared" ref="J132:J134" si="6">E132</f>
        <v>Fisika Fluida, Kalor dan Gelombang</v>
      </c>
      <c r="K132" s="50">
        <f t="shared" ref="K132:K134" si="7">G132</f>
        <v>2</v>
      </c>
      <c r="L132" s="50">
        <v>1</v>
      </c>
    </row>
    <row r="133" spans="2:14" x14ac:dyDescent="0.15">
      <c r="B133" s="55" t="s">
        <v>6</v>
      </c>
      <c r="C133" s="56">
        <v>6</v>
      </c>
      <c r="D133" s="57" t="s">
        <v>293</v>
      </c>
      <c r="E133" s="57" t="s">
        <v>111</v>
      </c>
      <c r="F133" s="57" t="s">
        <v>14</v>
      </c>
      <c r="G133" s="57">
        <v>3</v>
      </c>
      <c r="I133" s="57" t="s">
        <v>111</v>
      </c>
      <c r="J133" s="63" t="str">
        <f t="shared" si="6"/>
        <v>Pemrograman Dasar</v>
      </c>
      <c r="K133" s="50">
        <f t="shared" si="7"/>
        <v>3</v>
      </c>
      <c r="L133" s="50">
        <v>1</v>
      </c>
    </row>
    <row r="134" spans="2:14" x14ac:dyDescent="0.15">
      <c r="B134" s="55" t="s">
        <v>6</v>
      </c>
      <c r="C134" s="56">
        <v>7</v>
      </c>
      <c r="D134" s="57" t="s">
        <v>294</v>
      </c>
      <c r="E134" s="57" t="s">
        <v>295</v>
      </c>
      <c r="F134" s="57" t="s">
        <v>24</v>
      </c>
      <c r="G134" s="57">
        <v>2</v>
      </c>
      <c r="I134" s="57" t="s">
        <v>295</v>
      </c>
      <c r="J134" s="63" t="str">
        <f t="shared" si="6"/>
        <v>Manajemen Industri</v>
      </c>
      <c r="K134" s="50">
        <f t="shared" si="7"/>
        <v>2</v>
      </c>
      <c r="L134" s="50">
        <v>7</v>
      </c>
    </row>
    <row r="135" spans="2:14" x14ac:dyDescent="0.15">
      <c r="B135" s="58" t="s">
        <v>21</v>
      </c>
      <c r="C135" s="59">
        <v>1</v>
      </c>
      <c r="D135" s="60" t="s">
        <v>296</v>
      </c>
      <c r="E135" s="60" t="s">
        <v>119</v>
      </c>
      <c r="F135" s="60" t="s">
        <v>24</v>
      </c>
      <c r="G135" s="60">
        <v>2</v>
      </c>
      <c r="I135" s="60" t="s">
        <v>119</v>
      </c>
      <c r="J135" s="63" t="s">
        <v>119</v>
      </c>
      <c r="K135" s="50">
        <v>3</v>
      </c>
      <c r="L135" s="50">
        <v>2</v>
      </c>
    </row>
    <row r="136" spans="2:14" x14ac:dyDescent="0.15">
      <c r="B136" s="58" t="s">
        <v>21</v>
      </c>
      <c r="C136" s="59">
        <v>2</v>
      </c>
      <c r="D136" s="60" t="s">
        <v>297</v>
      </c>
      <c r="E136" s="60" t="s">
        <v>116</v>
      </c>
      <c r="F136" s="60" t="s">
        <v>9</v>
      </c>
      <c r="G136" s="60">
        <v>3</v>
      </c>
      <c r="I136" s="60" t="s">
        <v>116</v>
      </c>
      <c r="J136" s="63" t="s">
        <v>116</v>
      </c>
      <c r="K136" s="50">
        <v>3</v>
      </c>
      <c r="L136" s="50">
        <v>2</v>
      </c>
    </row>
    <row r="137" spans="2:14" x14ac:dyDescent="0.15">
      <c r="B137" s="58" t="s">
        <v>21</v>
      </c>
      <c r="C137" s="59">
        <v>3</v>
      </c>
      <c r="D137" s="60" t="s">
        <v>298</v>
      </c>
      <c r="E137" s="60" t="s">
        <v>299</v>
      </c>
      <c r="F137" s="60" t="s">
        <v>9</v>
      </c>
      <c r="G137" s="60">
        <v>3</v>
      </c>
      <c r="I137" s="106" t="s">
        <v>299</v>
      </c>
      <c r="J137" s="73" t="str">
        <f>E137</f>
        <v>Analisis Variabel Kompleks</v>
      </c>
      <c r="K137" s="107"/>
      <c r="L137" s="107"/>
      <c r="M137" s="74">
        <v>3</v>
      </c>
      <c r="N137" s="74">
        <v>2</v>
      </c>
    </row>
    <row r="138" spans="2:14" x14ac:dyDescent="0.15">
      <c r="B138" s="58" t="s">
        <v>21</v>
      </c>
      <c r="C138" s="59">
        <v>4</v>
      </c>
      <c r="D138" s="60" t="s">
        <v>300</v>
      </c>
      <c r="E138" s="60" t="s">
        <v>301</v>
      </c>
      <c r="F138" s="60" t="s">
        <v>9</v>
      </c>
      <c r="G138" s="60">
        <v>3</v>
      </c>
      <c r="I138" s="60" t="s">
        <v>301</v>
      </c>
      <c r="J138" s="63" t="str">
        <f>E138</f>
        <v>Aljabar Linear</v>
      </c>
      <c r="K138" s="50">
        <v>3</v>
      </c>
      <c r="L138" s="50">
        <v>1</v>
      </c>
    </row>
    <row r="139" spans="2:14" x14ac:dyDescent="0.15">
      <c r="B139" s="58" t="s">
        <v>21</v>
      </c>
      <c r="C139" s="59">
        <v>5</v>
      </c>
      <c r="D139" s="60" t="s">
        <v>302</v>
      </c>
      <c r="E139" s="60" t="s">
        <v>112</v>
      </c>
      <c r="F139" s="60" t="s">
        <v>9</v>
      </c>
      <c r="G139" s="60">
        <v>2</v>
      </c>
      <c r="I139" s="60" t="s">
        <v>112</v>
      </c>
      <c r="J139" s="63" t="s">
        <v>112</v>
      </c>
      <c r="K139" s="50">
        <v>2</v>
      </c>
      <c r="L139" s="50">
        <v>1</v>
      </c>
    </row>
    <row r="140" spans="2:14" x14ac:dyDescent="0.15">
      <c r="B140" s="58" t="s">
        <v>21</v>
      </c>
      <c r="C140" s="59">
        <v>6</v>
      </c>
      <c r="D140" s="60" t="s">
        <v>303</v>
      </c>
      <c r="E140" s="60" t="s">
        <v>304</v>
      </c>
      <c r="F140" s="60" t="s">
        <v>9</v>
      </c>
      <c r="G140" s="60">
        <v>3</v>
      </c>
      <c r="I140" s="106" t="s">
        <v>304</v>
      </c>
      <c r="J140" s="73" t="str">
        <f>E140</f>
        <v>Fisika Listrik dan Magnet</v>
      </c>
      <c r="K140" s="107"/>
      <c r="L140" s="107"/>
      <c r="M140" s="74">
        <v>3</v>
      </c>
      <c r="N140" s="74">
        <v>2</v>
      </c>
    </row>
    <row r="141" spans="2:14" x14ac:dyDescent="0.15">
      <c r="B141" s="58" t="s">
        <v>21</v>
      </c>
      <c r="C141" s="59">
        <v>7</v>
      </c>
      <c r="D141" s="60" t="s">
        <v>305</v>
      </c>
      <c r="E141" s="60" t="s">
        <v>114</v>
      </c>
      <c r="F141" s="60" t="s">
        <v>14</v>
      </c>
      <c r="G141" s="60">
        <v>3</v>
      </c>
      <c r="I141" s="60" t="s">
        <v>114</v>
      </c>
      <c r="J141" s="63" t="s">
        <v>114</v>
      </c>
      <c r="K141" s="50">
        <v>3</v>
      </c>
      <c r="L141" s="50">
        <v>2</v>
      </c>
    </row>
    <row r="142" spans="2:14" x14ac:dyDescent="0.15">
      <c r="B142" s="58" t="s">
        <v>21</v>
      </c>
      <c r="C142" s="59">
        <v>8</v>
      </c>
      <c r="D142" s="60" t="s">
        <v>306</v>
      </c>
      <c r="E142" s="60" t="s">
        <v>117</v>
      </c>
      <c r="F142" s="60" t="s">
        <v>14</v>
      </c>
      <c r="G142" s="60">
        <v>1</v>
      </c>
      <c r="I142" s="60" t="s">
        <v>117</v>
      </c>
      <c r="J142" s="63" t="s">
        <v>117</v>
      </c>
      <c r="K142" s="50">
        <v>1</v>
      </c>
      <c r="L142" s="50">
        <v>2</v>
      </c>
    </row>
    <row r="143" spans="2:14" x14ac:dyDescent="0.15">
      <c r="B143" s="2" t="s">
        <v>38</v>
      </c>
      <c r="C143" s="4">
        <v>1</v>
      </c>
      <c r="D143" s="2" t="s">
        <v>307</v>
      </c>
      <c r="E143" s="2" t="s">
        <v>126</v>
      </c>
      <c r="F143" s="2" t="s">
        <v>9</v>
      </c>
      <c r="G143" s="2">
        <v>3</v>
      </c>
      <c r="I143" s="2" t="s">
        <v>126</v>
      </c>
      <c r="J143" s="63" t="s">
        <v>126</v>
      </c>
      <c r="K143" s="50">
        <v>3</v>
      </c>
      <c r="L143" s="50">
        <v>3</v>
      </c>
    </row>
    <row r="144" spans="2:14" x14ac:dyDescent="0.15">
      <c r="B144" s="2" t="s">
        <v>38</v>
      </c>
      <c r="C144" s="4">
        <v>2</v>
      </c>
      <c r="D144" s="2" t="s">
        <v>308</v>
      </c>
      <c r="E144" s="2" t="s">
        <v>124</v>
      </c>
      <c r="F144" s="2" t="s">
        <v>14</v>
      </c>
      <c r="G144" s="2">
        <v>3</v>
      </c>
      <c r="I144" s="2" t="s">
        <v>124</v>
      </c>
      <c r="J144" s="63" t="s">
        <v>124</v>
      </c>
      <c r="K144" s="50">
        <v>3</v>
      </c>
      <c r="L144" s="50">
        <v>3</v>
      </c>
    </row>
    <row r="145" spans="2:12" x14ac:dyDescent="0.15">
      <c r="B145" s="2" t="s">
        <v>38</v>
      </c>
      <c r="C145" s="4">
        <v>3</v>
      </c>
      <c r="D145" s="2" t="s">
        <v>309</v>
      </c>
      <c r="E145" s="2" t="s">
        <v>118</v>
      </c>
      <c r="F145" s="2" t="s">
        <v>9</v>
      </c>
      <c r="G145" s="2">
        <v>2</v>
      </c>
      <c r="I145" s="2" t="s">
        <v>118</v>
      </c>
      <c r="J145" s="63" t="s">
        <v>118</v>
      </c>
      <c r="K145" s="50">
        <v>2</v>
      </c>
      <c r="L145" s="50">
        <v>2</v>
      </c>
    </row>
    <row r="146" spans="2:12" x14ac:dyDescent="0.15">
      <c r="B146" s="2" t="s">
        <v>38</v>
      </c>
      <c r="C146" s="4">
        <v>4</v>
      </c>
      <c r="D146" s="2" t="s">
        <v>310</v>
      </c>
      <c r="E146" s="2" t="s">
        <v>127</v>
      </c>
      <c r="F146" s="2" t="s">
        <v>14</v>
      </c>
      <c r="G146" s="2">
        <v>1</v>
      </c>
      <c r="I146" s="2" t="s">
        <v>127</v>
      </c>
      <c r="J146" s="63" t="s">
        <v>127</v>
      </c>
      <c r="K146" s="50">
        <v>1</v>
      </c>
      <c r="L146" s="50">
        <v>3</v>
      </c>
    </row>
    <row r="147" spans="2:12" x14ac:dyDescent="0.15">
      <c r="B147" s="2" t="s">
        <v>38</v>
      </c>
      <c r="C147" s="4">
        <v>5</v>
      </c>
      <c r="D147" s="2" t="s">
        <v>311</v>
      </c>
      <c r="E147" s="2" t="s">
        <v>121</v>
      </c>
      <c r="F147" s="2" t="s">
        <v>14</v>
      </c>
      <c r="G147" s="2">
        <v>3</v>
      </c>
      <c r="I147" s="2" t="s">
        <v>121</v>
      </c>
      <c r="J147" s="63" t="s">
        <v>121</v>
      </c>
      <c r="K147" s="50">
        <v>3</v>
      </c>
      <c r="L147" s="50">
        <v>3</v>
      </c>
    </row>
    <row r="148" spans="2:12" x14ac:dyDescent="0.15">
      <c r="B148" s="2" t="s">
        <v>38</v>
      </c>
      <c r="C148" s="4">
        <v>6</v>
      </c>
      <c r="D148" s="2" t="s">
        <v>312</v>
      </c>
      <c r="E148" s="2" t="s">
        <v>313</v>
      </c>
      <c r="F148" s="2" t="s">
        <v>14</v>
      </c>
      <c r="G148" s="2">
        <v>3</v>
      </c>
      <c r="I148" s="2" t="s">
        <v>313</v>
      </c>
      <c r="J148" s="63" t="s">
        <v>135</v>
      </c>
      <c r="K148" s="50">
        <v>3</v>
      </c>
      <c r="L148" s="50">
        <v>4</v>
      </c>
    </row>
    <row r="149" spans="2:12" x14ac:dyDescent="0.15">
      <c r="B149" s="2" t="s">
        <v>38</v>
      </c>
      <c r="C149" s="4">
        <v>7</v>
      </c>
      <c r="D149" s="2" t="s">
        <v>314</v>
      </c>
      <c r="E149" s="2" t="s">
        <v>125</v>
      </c>
      <c r="F149" s="2" t="s">
        <v>14</v>
      </c>
      <c r="G149" s="2">
        <v>3</v>
      </c>
      <c r="I149" s="2" t="s">
        <v>125</v>
      </c>
      <c r="J149" s="63" t="s">
        <v>125</v>
      </c>
      <c r="K149" s="50">
        <v>3</v>
      </c>
      <c r="L149" s="50">
        <v>3</v>
      </c>
    </row>
    <row r="150" spans="2:12" x14ac:dyDescent="0.15">
      <c r="B150" s="2" t="s">
        <v>38</v>
      </c>
      <c r="C150" s="4">
        <v>8</v>
      </c>
      <c r="D150" s="2" t="s">
        <v>315</v>
      </c>
      <c r="E150" s="2" t="s">
        <v>115</v>
      </c>
      <c r="F150" s="2" t="s">
        <v>14</v>
      </c>
      <c r="G150" s="2">
        <v>3</v>
      </c>
      <c r="I150" s="2" t="s">
        <v>115</v>
      </c>
      <c r="J150" s="63" t="s">
        <v>115</v>
      </c>
      <c r="K150" s="50">
        <v>3</v>
      </c>
      <c r="L150" s="50">
        <v>2</v>
      </c>
    </row>
    <row r="151" spans="2:12" x14ac:dyDescent="0.15">
      <c r="B151" s="3" t="s">
        <v>55</v>
      </c>
      <c r="C151" s="5">
        <v>1</v>
      </c>
      <c r="D151" s="3" t="s">
        <v>316</v>
      </c>
      <c r="E151" s="3" t="s">
        <v>317</v>
      </c>
      <c r="F151" s="3" t="s">
        <v>14</v>
      </c>
      <c r="G151" s="3">
        <v>3</v>
      </c>
      <c r="I151" s="3" t="s">
        <v>317</v>
      </c>
      <c r="J151" s="71" t="s">
        <v>392</v>
      </c>
      <c r="K151" s="72">
        <v>3</v>
      </c>
      <c r="L151" s="72">
        <v>5</v>
      </c>
    </row>
    <row r="152" spans="2:12" x14ac:dyDescent="0.15">
      <c r="B152" s="3" t="s">
        <v>55</v>
      </c>
      <c r="C152" s="5">
        <v>2</v>
      </c>
      <c r="D152" s="3" t="s">
        <v>318</v>
      </c>
      <c r="E152" s="3" t="s">
        <v>120</v>
      </c>
      <c r="F152" s="3" t="s">
        <v>14</v>
      </c>
      <c r="G152" s="3">
        <v>3</v>
      </c>
      <c r="I152" s="3" t="s">
        <v>120</v>
      </c>
      <c r="J152" s="71" t="s">
        <v>120</v>
      </c>
      <c r="K152" s="72">
        <v>3</v>
      </c>
      <c r="L152" s="72">
        <v>2</v>
      </c>
    </row>
    <row r="153" spans="2:12" x14ac:dyDescent="0.15">
      <c r="B153" s="3" t="s">
        <v>55</v>
      </c>
      <c r="C153" s="5">
        <v>3</v>
      </c>
      <c r="D153" s="3" t="s">
        <v>319</v>
      </c>
      <c r="E153" s="3" t="s">
        <v>320</v>
      </c>
      <c r="F153" s="3" t="s">
        <v>14</v>
      </c>
      <c r="G153" s="3">
        <v>2</v>
      </c>
      <c r="I153" s="3" t="s">
        <v>320</v>
      </c>
      <c r="J153" s="71" t="s">
        <v>109</v>
      </c>
      <c r="K153" s="72">
        <v>2</v>
      </c>
      <c r="L153" s="72">
        <v>1</v>
      </c>
    </row>
    <row r="154" spans="2:12" x14ac:dyDescent="0.15">
      <c r="B154" s="3" t="s">
        <v>55</v>
      </c>
      <c r="C154" s="5">
        <v>4</v>
      </c>
      <c r="D154" s="3" t="s">
        <v>321</v>
      </c>
      <c r="E154" s="3" t="s">
        <v>322</v>
      </c>
      <c r="F154" s="3" t="s">
        <v>14</v>
      </c>
      <c r="G154" s="3">
        <v>3</v>
      </c>
      <c r="I154" s="3" t="s">
        <v>322</v>
      </c>
      <c r="J154" s="71" t="s">
        <v>123</v>
      </c>
      <c r="K154" s="72">
        <v>3</v>
      </c>
      <c r="L154" s="72">
        <v>3</v>
      </c>
    </row>
    <row r="155" spans="2:12" x14ac:dyDescent="0.15">
      <c r="B155" s="3" t="s">
        <v>55</v>
      </c>
      <c r="C155" s="5">
        <v>5</v>
      </c>
      <c r="D155" s="3" t="s">
        <v>323</v>
      </c>
      <c r="E155" s="3" t="s">
        <v>144</v>
      </c>
      <c r="F155" s="3" t="s">
        <v>14</v>
      </c>
      <c r="G155" s="3">
        <v>3</v>
      </c>
      <c r="I155" s="3" t="s">
        <v>144</v>
      </c>
      <c r="J155" s="71" t="s">
        <v>144</v>
      </c>
      <c r="K155" s="72">
        <v>3</v>
      </c>
      <c r="L155" s="72">
        <v>5</v>
      </c>
    </row>
    <row r="156" spans="2:12" x14ac:dyDescent="0.15">
      <c r="B156" s="3" t="s">
        <v>55</v>
      </c>
      <c r="C156" s="5">
        <v>6</v>
      </c>
      <c r="D156" s="3" t="s">
        <v>324</v>
      </c>
      <c r="E156" s="3" t="s">
        <v>122</v>
      </c>
      <c r="F156" s="3" t="s">
        <v>14</v>
      </c>
      <c r="G156" s="3">
        <v>3</v>
      </c>
      <c r="I156" s="3" t="s">
        <v>122</v>
      </c>
      <c r="J156" s="71" t="s">
        <v>122</v>
      </c>
      <c r="K156" s="72">
        <v>3</v>
      </c>
      <c r="L156" s="72">
        <v>3</v>
      </c>
    </row>
    <row r="157" spans="2:12" x14ac:dyDescent="0.15">
      <c r="B157" s="3" t="s">
        <v>55</v>
      </c>
      <c r="C157" s="5">
        <v>7</v>
      </c>
      <c r="D157" s="3" t="s">
        <v>325</v>
      </c>
      <c r="E157" s="3" t="s">
        <v>136</v>
      </c>
      <c r="F157" s="3" t="s">
        <v>14</v>
      </c>
      <c r="G157" s="3">
        <v>2</v>
      </c>
      <c r="I157" s="3" t="s">
        <v>136</v>
      </c>
      <c r="J157" s="71" t="s">
        <v>136</v>
      </c>
      <c r="K157" s="72">
        <v>2</v>
      </c>
      <c r="L157" s="72">
        <v>4</v>
      </c>
    </row>
    <row r="158" spans="2:12" x14ac:dyDescent="0.15">
      <c r="B158" s="2" t="s">
        <v>71</v>
      </c>
      <c r="C158" s="4">
        <v>1</v>
      </c>
      <c r="D158" s="2" t="s">
        <v>326</v>
      </c>
      <c r="E158" s="2" t="s">
        <v>327</v>
      </c>
      <c r="F158" s="2" t="s">
        <v>14</v>
      </c>
      <c r="G158" s="2">
        <v>2</v>
      </c>
      <c r="I158" s="2" t="s">
        <v>327</v>
      </c>
      <c r="J158" s="63" t="s">
        <v>327</v>
      </c>
      <c r="K158" s="50">
        <v>2</v>
      </c>
      <c r="L158" s="50">
        <v>5</v>
      </c>
    </row>
    <row r="159" spans="2:12" x14ac:dyDescent="0.15">
      <c r="B159" s="2" t="s">
        <v>71</v>
      </c>
      <c r="C159" s="4">
        <v>2</v>
      </c>
      <c r="D159" s="2" t="s">
        <v>328</v>
      </c>
      <c r="E159" s="2" t="s">
        <v>128</v>
      </c>
      <c r="F159" s="2" t="s">
        <v>14</v>
      </c>
      <c r="G159" s="2">
        <v>3</v>
      </c>
      <c r="I159" s="2" t="s">
        <v>128</v>
      </c>
      <c r="J159" s="63" t="s">
        <v>128</v>
      </c>
      <c r="K159" s="50">
        <v>2</v>
      </c>
      <c r="L159" s="50">
        <v>3</v>
      </c>
    </row>
    <row r="160" spans="2:12" x14ac:dyDescent="0.15">
      <c r="B160" s="2" t="s">
        <v>71</v>
      </c>
      <c r="C160" s="4">
        <v>3</v>
      </c>
      <c r="D160" s="2" t="s">
        <v>329</v>
      </c>
      <c r="E160" s="2" t="s">
        <v>132</v>
      </c>
      <c r="F160" s="2" t="s">
        <v>14</v>
      </c>
      <c r="G160" s="2">
        <v>2</v>
      </c>
      <c r="I160" s="2" t="s">
        <v>132</v>
      </c>
      <c r="J160" s="63" t="s">
        <v>132</v>
      </c>
      <c r="K160" s="50">
        <v>2</v>
      </c>
      <c r="L160" s="50">
        <v>4</v>
      </c>
    </row>
    <row r="161" spans="2:12" x14ac:dyDescent="0.15">
      <c r="B161" s="2" t="s">
        <v>71</v>
      </c>
      <c r="C161" s="4">
        <v>4</v>
      </c>
      <c r="D161" s="2" t="s">
        <v>330</v>
      </c>
      <c r="E161" s="2" t="s">
        <v>134</v>
      </c>
      <c r="F161" s="2" t="s">
        <v>14</v>
      </c>
      <c r="G161" s="2">
        <v>3</v>
      </c>
      <c r="I161" s="2" t="s">
        <v>134</v>
      </c>
      <c r="J161" s="63" t="s">
        <v>134</v>
      </c>
      <c r="K161" s="50">
        <v>3</v>
      </c>
      <c r="L161" s="50">
        <v>4</v>
      </c>
    </row>
    <row r="162" spans="2:12" x14ac:dyDescent="0.15">
      <c r="B162" s="2" t="s">
        <v>71</v>
      </c>
      <c r="C162" s="4">
        <v>5</v>
      </c>
      <c r="D162" s="2" t="s">
        <v>331</v>
      </c>
      <c r="E162" s="2" t="s">
        <v>133</v>
      </c>
      <c r="F162" s="2" t="s">
        <v>14</v>
      </c>
      <c r="G162" s="2">
        <v>3</v>
      </c>
      <c r="I162" s="2" t="s">
        <v>133</v>
      </c>
      <c r="J162" s="63" t="s">
        <v>133</v>
      </c>
      <c r="K162" s="50">
        <v>3</v>
      </c>
      <c r="L162" s="50">
        <v>4</v>
      </c>
    </row>
    <row r="163" spans="2:12" x14ac:dyDescent="0.15">
      <c r="B163" s="2" t="s">
        <v>71</v>
      </c>
      <c r="C163" s="4">
        <v>6</v>
      </c>
      <c r="D163" s="2" t="s">
        <v>332</v>
      </c>
      <c r="E163" s="2" t="s">
        <v>131</v>
      </c>
      <c r="F163" s="2" t="s">
        <v>14</v>
      </c>
      <c r="G163" s="2">
        <v>3</v>
      </c>
      <c r="I163" s="2" t="s">
        <v>131</v>
      </c>
      <c r="J163" s="63" t="s">
        <v>131</v>
      </c>
      <c r="K163" s="50">
        <v>3</v>
      </c>
      <c r="L163" s="50">
        <v>4</v>
      </c>
    </row>
    <row r="164" spans="2:12" x14ac:dyDescent="0.15">
      <c r="B164" s="2" t="s">
        <v>71</v>
      </c>
      <c r="C164" s="4">
        <v>7</v>
      </c>
      <c r="D164" s="2" t="s">
        <v>333</v>
      </c>
      <c r="E164" s="2" t="s">
        <v>129</v>
      </c>
      <c r="F164" s="2" t="s">
        <v>14</v>
      </c>
      <c r="G164" s="2">
        <v>2</v>
      </c>
      <c r="I164" s="2" t="s">
        <v>129</v>
      </c>
      <c r="J164" s="63" t="s">
        <v>129</v>
      </c>
      <c r="K164" s="50">
        <v>3</v>
      </c>
      <c r="L164" s="50">
        <v>4</v>
      </c>
    </row>
    <row r="165" spans="2:12" x14ac:dyDescent="0.15">
      <c r="B165" s="2" t="s">
        <v>71</v>
      </c>
      <c r="C165" s="4">
        <v>8</v>
      </c>
      <c r="D165" s="2" t="s">
        <v>334</v>
      </c>
      <c r="E165" s="2" t="s">
        <v>147</v>
      </c>
      <c r="F165" s="2" t="s">
        <v>14</v>
      </c>
      <c r="G165" s="2">
        <v>3</v>
      </c>
      <c r="I165" s="2" t="s">
        <v>147</v>
      </c>
      <c r="J165" s="63" t="s">
        <v>381</v>
      </c>
      <c r="K165" s="50">
        <v>3</v>
      </c>
      <c r="L165" s="50">
        <v>7</v>
      </c>
    </row>
    <row r="166" spans="2:12" x14ac:dyDescent="0.15">
      <c r="B166" s="3" t="s">
        <v>85</v>
      </c>
      <c r="C166" s="5">
        <v>1</v>
      </c>
      <c r="D166" s="3" t="s">
        <v>335</v>
      </c>
      <c r="E166" s="3" t="s">
        <v>143</v>
      </c>
      <c r="F166" s="3" t="s">
        <v>14</v>
      </c>
      <c r="G166" s="3">
        <v>3</v>
      </c>
      <c r="I166" s="3" t="s">
        <v>143</v>
      </c>
      <c r="J166" s="71" t="s">
        <v>143</v>
      </c>
      <c r="K166" s="72">
        <v>3</v>
      </c>
      <c r="L166" s="72">
        <v>5</v>
      </c>
    </row>
    <row r="167" spans="2:12" x14ac:dyDescent="0.15">
      <c r="B167" s="3" t="s">
        <v>85</v>
      </c>
      <c r="C167" s="5">
        <v>2</v>
      </c>
      <c r="D167" s="3" t="s">
        <v>336</v>
      </c>
      <c r="E167" s="3" t="s">
        <v>153</v>
      </c>
      <c r="F167" s="3" t="s">
        <v>14</v>
      </c>
      <c r="G167" s="3">
        <v>2</v>
      </c>
      <c r="I167" s="3" t="s">
        <v>153</v>
      </c>
      <c r="J167" s="71" t="s">
        <v>153</v>
      </c>
      <c r="K167" s="72">
        <v>2</v>
      </c>
      <c r="L167" s="72">
        <v>7</v>
      </c>
    </row>
    <row r="168" spans="2:12" x14ac:dyDescent="0.15">
      <c r="B168" s="3" t="s">
        <v>85</v>
      </c>
      <c r="C168" s="5">
        <v>3</v>
      </c>
      <c r="D168" s="3" t="s">
        <v>337</v>
      </c>
      <c r="E168" s="3" t="s">
        <v>338</v>
      </c>
      <c r="F168" s="3" t="s">
        <v>14</v>
      </c>
      <c r="G168" s="3">
        <v>3</v>
      </c>
      <c r="I168" s="3" t="s">
        <v>338</v>
      </c>
      <c r="J168" s="71" t="s">
        <v>139</v>
      </c>
      <c r="K168" s="72">
        <v>3</v>
      </c>
      <c r="L168" s="72">
        <v>5</v>
      </c>
    </row>
    <row r="169" spans="2:12" x14ac:dyDescent="0.15">
      <c r="B169" s="3" t="s">
        <v>85</v>
      </c>
      <c r="C169" s="5">
        <v>4</v>
      </c>
      <c r="D169" s="3" t="s">
        <v>339</v>
      </c>
      <c r="E169" s="3" t="s">
        <v>231</v>
      </c>
      <c r="F169" s="3" t="s">
        <v>14</v>
      </c>
      <c r="G169" s="3">
        <v>2</v>
      </c>
      <c r="I169" s="3" t="s">
        <v>231</v>
      </c>
      <c r="J169" s="71" t="s">
        <v>231</v>
      </c>
      <c r="K169" s="72">
        <v>3</v>
      </c>
      <c r="L169" s="72">
        <v>6</v>
      </c>
    </row>
    <row r="170" spans="2:12" x14ac:dyDescent="0.15">
      <c r="B170" s="3" t="s">
        <v>85</v>
      </c>
      <c r="C170" s="5">
        <v>5</v>
      </c>
      <c r="D170" s="3" t="s">
        <v>340</v>
      </c>
      <c r="E170" s="3" t="s">
        <v>142</v>
      </c>
      <c r="F170" s="3" t="s">
        <v>24</v>
      </c>
      <c r="G170" s="3">
        <v>2</v>
      </c>
      <c r="I170" s="3" t="s">
        <v>142</v>
      </c>
      <c r="J170" s="71" t="s">
        <v>142</v>
      </c>
      <c r="K170" s="72">
        <v>2</v>
      </c>
      <c r="L170" s="72">
        <v>5</v>
      </c>
    </row>
    <row r="171" spans="2:12" x14ac:dyDescent="0.15">
      <c r="B171" s="3" t="s">
        <v>85</v>
      </c>
      <c r="C171" s="5">
        <v>6</v>
      </c>
      <c r="D171" s="3" t="s">
        <v>341</v>
      </c>
      <c r="E171" s="3" t="s">
        <v>342</v>
      </c>
      <c r="F171" s="3" t="s">
        <v>24</v>
      </c>
      <c r="G171" s="3">
        <v>2</v>
      </c>
      <c r="I171" s="3" t="s">
        <v>342</v>
      </c>
      <c r="J171" s="71" t="s">
        <v>137</v>
      </c>
      <c r="K171" s="72">
        <v>2</v>
      </c>
      <c r="L171" s="72">
        <v>5</v>
      </c>
    </row>
    <row r="172" spans="2:12" x14ac:dyDescent="0.15">
      <c r="B172" s="3" t="s">
        <v>85</v>
      </c>
      <c r="C172" s="5">
        <v>7</v>
      </c>
      <c r="D172" s="3" t="s">
        <v>343</v>
      </c>
      <c r="E172" s="3" t="s">
        <v>141</v>
      </c>
      <c r="F172" s="3" t="s">
        <v>24</v>
      </c>
      <c r="G172" s="3">
        <v>2</v>
      </c>
      <c r="I172" s="3" t="s">
        <v>141</v>
      </c>
      <c r="J172" s="71" t="s">
        <v>141</v>
      </c>
      <c r="K172" s="72">
        <v>2</v>
      </c>
      <c r="L172" s="72">
        <v>5</v>
      </c>
    </row>
    <row r="173" spans="2:12" x14ac:dyDescent="0.15">
      <c r="B173" s="3" t="s">
        <v>85</v>
      </c>
      <c r="C173" s="5">
        <v>8</v>
      </c>
      <c r="D173" s="3" t="s">
        <v>344</v>
      </c>
      <c r="E173" s="3" t="s">
        <v>113</v>
      </c>
      <c r="F173" s="3" t="s">
        <v>24</v>
      </c>
      <c r="G173" s="3">
        <v>2</v>
      </c>
      <c r="I173" s="3" t="s">
        <v>113</v>
      </c>
      <c r="J173" s="71" t="s">
        <v>113</v>
      </c>
      <c r="K173" s="72">
        <v>2</v>
      </c>
      <c r="L173" s="72">
        <v>2</v>
      </c>
    </row>
    <row r="174" spans="2:12" x14ac:dyDescent="0.15">
      <c r="B174" s="2" t="s">
        <v>87</v>
      </c>
      <c r="C174" s="4">
        <v>1</v>
      </c>
      <c r="D174" s="2" t="s">
        <v>345</v>
      </c>
      <c r="E174" s="2" t="s">
        <v>150</v>
      </c>
      <c r="F174" s="2" t="s">
        <v>24</v>
      </c>
      <c r="G174" s="2">
        <v>4</v>
      </c>
      <c r="I174" s="2" t="s">
        <v>150</v>
      </c>
      <c r="J174" s="66" t="s">
        <v>150</v>
      </c>
      <c r="K174" s="67">
        <v>4</v>
      </c>
      <c r="L174" s="67">
        <v>7</v>
      </c>
    </row>
    <row r="175" spans="2:12" x14ac:dyDescent="0.15">
      <c r="B175" s="2" t="s">
        <v>87</v>
      </c>
      <c r="C175" s="4">
        <v>2</v>
      </c>
      <c r="D175" s="2" t="s">
        <v>346</v>
      </c>
      <c r="E175" s="2" t="s">
        <v>149</v>
      </c>
      <c r="F175" s="2" t="s">
        <v>24</v>
      </c>
      <c r="G175" s="2">
        <v>2</v>
      </c>
      <c r="I175" s="2" t="s">
        <v>149</v>
      </c>
      <c r="J175" s="63" t="s">
        <v>149</v>
      </c>
      <c r="K175" s="50">
        <v>2</v>
      </c>
      <c r="L175" s="50">
        <v>7</v>
      </c>
    </row>
    <row r="176" spans="2:12" x14ac:dyDescent="0.15">
      <c r="B176" s="2" t="s">
        <v>87</v>
      </c>
      <c r="C176" s="4">
        <v>3</v>
      </c>
      <c r="D176" s="2" t="s">
        <v>347</v>
      </c>
      <c r="E176" s="2" t="s">
        <v>151</v>
      </c>
      <c r="F176" s="2" t="s">
        <v>24</v>
      </c>
      <c r="G176" s="2">
        <v>2</v>
      </c>
      <c r="I176" s="2" t="s">
        <v>151</v>
      </c>
      <c r="J176" s="63" t="s">
        <v>151</v>
      </c>
      <c r="K176" s="50">
        <v>2</v>
      </c>
      <c r="L176" s="50">
        <v>7</v>
      </c>
    </row>
    <row r="177" spans="2:12" x14ac:dyDescent="0.15">
      <c r="B177" s="2" t="s">
        <v>87</v>
      </c>
      <c r="C177" s="4">
        <v>4</v>
      </c>
      <c r="D177" s="2" t="s">
        <v>348</v>
      </c>
      <c r="E177" s="2" t="s">
        <v>148</v>
      </c>
      <c r="F177" s="2" t="s">
        <v>24</v>
      </c>
      <c r="G177" s="2">
        <v>2</v>
      </c>
      <c r="I177" s="2" t="s">
        <v>148</v>
      </c>
      <c r="J177" s="63" t="s">
        <v>148</v>
      </c>
      <c r="K177" s="50">
        <v>2</v>
      </c>
      <c r="L177" s="50">
        <v>7</v>
      </c>
    </row>
    <row r="178" spans="2:12" x14ac:dyDescent="0.15">
      <c r="B178" s="2" t="s">
        <v>87</v>
      </c>
      <c r="C178" s="4">
        <v>5</v>
      </c>
      <c r="D178" s="2" t="s">
        <v>349</v>
      </c>
      <c r="E178" s="2" t="s">
        <v>154</v>
      </c>
      <c r="F178" s="2" t="s">
        <v>14</v>
      </c>
      <c r="G178" s="2">
        <v>2</v>
      </c>
      <c r="I178" s="2" t="s">
        <v>154</v>
      </c>
      <c r="J178" s="63" t="s">
        <v>154</v>
      </c>
      <c r="K178" s="50">
        <v>2</v>
      </c>
      <c r="L178" s="50">
        <v>8</v>
      </c>
    </row>
    <row r="179" spans="2:12" x14ac:dyDescent="0.15">
      <c r="B179" s="2" t="s">
        <v>87</v>
      </c>
      <c r="C179" s="4">
        <v>6</v>
      </c>
      <c r="D179" s="2" t="s">
        <v>350</v>
      </c>
      <c r="E179" s="2" t="s">
        <v>351</v>
      </c>
      <c r="F179" s="2" t="s">
        <v>14</v>
      </c>
      <c r="G179" s="2">
        <v>9</v>
      </c>
      <c r="I179" s="2" t="s">
        <v>351</v>
      </c>
      <c r="J179" s="66" t="s">
        <v>145</v>
      </c>
      <c r="K179" s="67">
        <v>9</v>
      </c>
      <c r="L179" s="67">
        <v>6</v>
      </c>
    </row>
    <row r="180" spans="2:12" x14ac:dyDescent="0.15">
      <c r="B180" s="3" t="s">
        <v>100</v>
      </c>
      <c r="C180" s="5">
        <v>1</v>
      </c>
      <c r="D180" s="3" t="s">
        <v>352</v>
      </c>
      <c r="E180" s="3" t="s">
        <v>155</v>
      </c>
      <c r="F180" s="3" t="s">
        <v>24</v>
      </c>
      <c r="G180" s="3">
        <v>2</v>
      </c>
      <c r="I180" s="3" t="s">
        <v>155</v>
      </c>
      <c r="J180" s="71" t="s">
        <v>155</v>
      </c>
      <c r="K180" s="72">
        <v>2</v>
      </c>
      <c r="L180" s="72">
        <v>8</v>
      </c>
    </row>
    <row r="181" spans="2:12" x14ac:dyDescent="0.15">
      <c r="B181" s="3" t="s">
        <v>100</v>
      </c>
      <c r="C181" s="5">
        <v>2</v>
      </c>
      <c r="D181" s="3" t="s">
        <v>353</v>
      </c>
      <c r="E181" s="3" t="s">
        <v>354</v>
      </c>
      <c r="F181" s="3" t="s">
        <v>14</v>
      </c>
      <c r="G181" s="3">
        <v>4</v>
      </c>
      <c r="I181" s="3" t="s">
        <v>354</v>
      </c>
      <c r="J181" s="71" t="s">
        <v>152</v>
      </c>
      <c r="K181" s="72">
        <v>3</v>
      </c>
      <c r="L181" s="72">
        <v>7</v>
      </c>
    </row>
    <row r="182" spans="2:12" x14ac:dyDescent="0.15">
      <c r="B182" s="3" t="s">
        <v>100</v>
      </c>
      <c r="C182" s="5">
        <v>3</v>
      </c>
      <c r="D182" s="3" t="s">
        <v>355</v>
      </c>
      <c r="E182" s="3" t="s">
        <v>356</v>
      </c>
      <c r="F182" s="3" t="s">
        <v>14</v>
      </c>
      <c r="G182" s="3">
        <v>6</v>
      </c>
      <c r="I182" s="3" t="s">
        <v>356</v>
      </c>
      <c r="J182" s="71" t="s">
        <v>145</v>
      </c>
      <c r="K182" s="72">
        <v>11</v>
      </c>
      <c r="L182" s="72">
        <v>6</v>
      </c>
    </row>
  </sheetData>
  <mergeCells count="9">
    <mergeCell ref="K127:L127"/>
    <mergeCell ref="M127:N127"/>
    <mergeCell ref="B2:G2"/>
    <mergeCell ref="K29:L29"/>
    <mergeCell ref="M29:N29"/>
    <mergeCell ref="K3:L3"/>
    <mergeCell ref="M3:N3"/>
    <mergeCell ref="K70:L70"/>
    <mergeCell ref="M70:N70"/>
  </mergeCells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7990F-7BAB-F34E-AF08-15EA2B1460C0}">
  <sheetPr>
    <outlinePr summaryBelow="0" summaryRight="0"/>
  </sheetPr>
  <dimension ref="A2:X130"/>
  <sheetViews>
    <sheetView tabSelected="1" zoomScale="170" zoomScaleNormal="170" workbookViewId="0">
      <pane xSplit="8" ySplit="4" topLeftCell="I6" activePane="bottomRight" state="frozen"/>
      <selection pane="topRight" activeCell="I1" sqref="I1"/>
      <selection pane="bottomLeft" activeCell="A5" sqref="A5"/>
      <selection pane="bottomRight" activeCell="J2" sqref="J2"/>
    </sheetView>
  </sheetViews>
  <sheetFormatPr baseColWidth="10" defaultColWidth="12.6640625" defaultRowHeight="15.75" customHeight="1" x14ac:dyDescent="0.15"/>
  <cols>
    <col min="1" max="1" width="15" style="13" customWidth="1"/>
    <col min="2" max="2" width="3.83203125" style="13" customWidth="1"/>
    <col min="3" max="3" width="10.6640625" style="13" hidden="1" customWidth="1"/>
    <col min="4" max="4" width="60.33203125" style="13" hidden="1" customWidth="1"/>
    <col min="5" max="5" width="17.6640625" style="13" customWidth="1"/>
    <col min="6" max="6" width="33.83203125" style="13" hidden="1" customWidth="1"/>
    <col min="7" max="7" width="15.6640625" style="13" hidden="1" customWidth="1"/>
    <col min="8" max="8" width="4.33203125" style="9" customWidth="1"/>
    <col min="9" max="9" width="2.5" customWidth="1"/>
    <col min="10" max="10" width="29.6640625" customWidth="1"/>
    <col min="11" max="11" width="6.33203125" customWidth="1"/>
    <col min="12" max="12" width="6.83203125" customWidth="1"/>
    <col min="13" max="13" width="2.6640625" customWidth="1"/>
    <col min="14" max="14" width="30.33203125" style="89" customWidth="1"/>
    <col min="15" max="15" width="9.1640625" style="9" customWidth="1"/>
    <col min="16" max="16" width="8.5" customWidth="1"/>
    <col min="17" max="17" width="3.83203125" customWidth="1"/>
    <col min="18" max="18" width="32" customWidth="1"/>
    <col min="19" max="19" width="8" style="6" customWidth="1"/>
    <col min="20" max="20" width="9" style="6" customWidth="1"/>
    <col min="21" max="21" width="7.6640625" customWidth="1"/>
    <col min="22" max="22" width="32.6640625" bestFit="1" customWidth="1"/>
  </cols>
  <sheetData>
    <row r="2" spans="1:24" ht="26" customHeight="1" x14ac:dyDescent="0.15">
      <c r="A2" s="128" t="s">
        <v>371</v>
      </c>
      <c r="B2" s="128"/>
      <c r="C2" s="128"/>
      <c r="D2" s="128"/>
      <c r="E2" s="128"/>
      <c r="F2" s="128"/>
      <c r="G2" s="128"/>
      <c r="H2" s="128"/>
      <c r="K2" s="1" t="s">
        <v>386</v>
      </c>
      <c r="N2" s="84" t="s">
        <v>388</v>
      </c>
      <c r="R2" s="1" t="s">
        <v>387</v>
      </c>
      <c r="V2" s="1" t="s">
        <v>389</v>
      </c>
    </row>
    <row r="4" spans="1:24" ht="30" customHeight="1" x14ac:dyDescent="0.15">
      <c r="A4" s="30" t="s">
        <v>0</v>
      </c>
      <c r="B4" s="30" t="s">
        <v>1</v>
      </c>
      <c r="C4" s="30" t="s">
        <v>2</v>
      </c>
      <c r="D4" s="30" t="s">
        <v>3</v>
      </c>
      <c r="E4" s="30" t="s">
        <v>3</v>
      </c>
      <c r="F4" s="30" t="s">
        <v>283</v>
      </c>
      <c r="G4" s="30" t="s">
        <v>4</v>
      </c>
      <c r="H4" s="30" t="s">
        <v>5</v>
      </c>
      <c r="J4" s="80" t="s">
        <v>390</v>
      </c>
      <c r="K4" s="77" t="s">
        <v>5</v>
      </c>
      <c r="L4" s="77" t="s">
        <v>0</v>
      </c>
      <c r="N4" s="85" t="s">
        <v>390</v>
      </c>
      <c r="O4" s="77" t="s">
        <v>5</v>
      </c>
      <c r="P4" s="77" t="s">
        <v>0</v>
      </c>
      <c r="R4" s="85" t="s">
        <v>390</v>
      </c>
      <c r="S4" s="77" t="s">
        <v>5</v>
      </c>
      <c r="T4" s="77" t="s">
        <v>0</v>
      </c>
      <c r="V4" s="85" t="s">
        <v>390</v>
      </c>
      <c r="W4" s="77" t="s">
        <v>5</v>
      </c>
      <c r="X4" s="77" t="s">
        <v>0</v>
      </c>
    </row>
    <row r="5" spans="1:24" ht="15.75" customHeight="1" x14ac:dyDescent="0.15">
      <c r="A5" s="10" t="s">
        <v>6</v>
      </c>
      <c r="B5" s="10">
        <v>1</v>
      </c>
      <c r="C5" s="10" t="s">
        <v>7</v>
      </c>
      <c r="D5" s="10" t="s">
        <v>8</v>
      </c>
      <c r="E5" s="10" t="s">
        <v>105</v>
      </c>
      <c r="F5" s="10" t="s">
        <v>106</v>
      </c>
      <c r="G5" s="10" t="s">
        <v>9</v>
      </c>
      <c r="H5" s="7">
        <v>3</v>
      </c>
      <c r="J5" s="10" t="s">
        <v>301</v>
      </c>
      <c r="K5" s="82">
        <v>3</v>
      </c>
      <c r="L5" s="82">
        <v>2</v>
      </c>
      <c r="N5" s="86" t="s">
        <v>301</v>
      </c>
      <c r="O5" s="82">
        <v>3</v>
      </c>
      <c r="P5" s="50">
        <v>2</v>
      </c>
      <c r="R5" s="86" t="s">
        <v>301</v>
      </c>
      <c r="S5" s="82">
        <v>3</v>
      </c>
      <c r="T5" s="92">
        <v>2</v>
      </c>
      <c r="V5" s="86" t="s">
        <v>301</v>
      </c>
      <c r="W5" s="82">
        <v>3</v>
      </c>
      <c r="X5" s="92">
        <v>2</v>
      </c>
    </row>
    <row r="6" spans="1:24" ht="15.75" customHeight="1" x14ac:dyDescent="0.15">
      <c r="A6" s="10" t="s">
        <v>6</v>
      </c>
      <c r="B6" s="10">
        <v>2</v>
      </c>
      <c r="C6" s="10" t="s">
        <v>7</v>
      </c>
      <c r="D6" s="10" t="s">
        <v>10</v>
      </c>
      <c r="E6" s="10" t="s">
        <v>107</v>
      </c>
      <c r="F6" s="10" t="s">
        <v>156</v>
      </c>
      <c r="G6" s="10" t="s">
        <v>9</v>
      </c>
      <c r="H6" s="7">
        <v>3</v>
      </c>
      <c r="J6" s="10" t="s">
        <v>290</v>
      </c>
      <c r="K6" s="82">
        <v>2</v>
      </c>
      <c r="L6" s="82">
        <v>1</v>
      </c>
      <c r="N6" s="86" t="s">
        <v>290</v>
      </c>
      <c r="O6" s="82">
        <v>2</v>
      </c>
      <c r="P6" s="50">
        <v>1</v>
      </c>
      <c r="R6" s="86" t="s">
        <v>290</v>
      </c>
      <c r="S6" s="82">
        <v>2</v>
      </c>
      <c r="T6" s="92">
        <v>1</v>
      </c>
      <c r="V6" s="86" t="s">
        <v>290</v>
      </c>
      <c r="W6" s="82">
        <v>2</v>
      </c>
      <c r="X6" s="92">
        <v>1</v>
      </c>
    </row>
    <row r="7" spans="1:24" ht="15.75" customHeight="1" x14ac:dyDescent="0.15">
      <c r="A7" s="10"/>
      <c r="B7" s="10"/>
      <c r="C7" s="10"/>
      <c r="D7" s="10"/>
      <c r="E7" s="10"/>
      <c r="F7" s="10"/>
      <c r="G7" s="10"/>
      <c r="H7" s="7"/>
      <c r="J7" s="10" t="s">
        <v>399</v>
      </c>
      <c r="K7" s="82">
        <v>2</v>
      </c>
      <c r="L7" s="82">
        <v>1</v>
      </c>
      <c r="N7" s="86" t="s">
        <v>292</v>
      </c>
      <c r="O7" s="82">
        <v>2</v>
      </c>
      <c r="P7" s="50">
        <v>1</v>
      </c>
      <c r="R7" s="86" t="s">
        <v>292</v>
      </c>
      <c r="S7" s="82">
        <v>2</v>
      </c>
      <c r="T7" s="50">
        <v>1</v>
      </c>
      <c r="V7" s="86" t="s">
        <v>292</v>
      </c>
      <c r="W7" s="82">
        <v>2</v>
      </c>
      <c r="X7" s="50">
        <v>1</v>
      </c>
    </row>
    <row r="8" spans="1:24" ht="15.75" customHeight="1" x14ac:dyDescent="0.15">
      <c r="A8" s="10" t="s">
        <v>6</v>
      </c>
      <c r="B8" s="10">
        <v>3</v>
      </c>
      <c r="C8" s="10" t="s">
        <v>7</v>
      </c>
      <c r="D8" s="10" t="s">
        <v>11</v>
      </c>
      <c r="E8" s="10" t="s">
        <v>108</v>
      </c>
      <c r="F8" s="10" t="s">
        <v>157</v>
      </c>
      <c r="G8" s="10" t="s">
        <v>9</v>
      </c>
      <c r="H8" s="7">
        <v>3</v>
      </c>
      <c r="J8" s="10" t="s">
        <v>285</v>
      </c>
      <c r="K8" s="82">
        <v>3</v>
      </c>
      <c r="L8" s="82">
        <v>1</v>
      </c>
      <c r="N8" s="86" t="s">
        <v>285</v>
      </c>
      <c r="O8" s="82">
        <v>3</v>
      </c>
      <c r="P8" s="50">
        <v>1</v>
      </c>
      <c r="R8" s="86" t="s">
        <v>285</v>
      </c>
      <c r="S8" s="82">
        <v>3</v>
      </c>
      <c r="T8" s="92">
        <v>1</v>
      </c>
      <c r="V8" s="86" t="s">
        <v>285</v>
      </c>
      <c r="W8" s="82">
        <v>3</v>
      </c>
      <c r="X8" s="92">
        <v>1</v>
      </c>
    </row>
    <row r="9" spans="1:24" ht="15.75" customHeight="1" x14ac:dyDescent="0.15">
      <c r="A9" s="10" t="s">
        <v>6</v>
      </c>
      <c r="B9" s="10">
        <v>4</v>
      </c>
      <c r="C9" s="10" t="s">
        <v>12</v>
      </c>
      <c r="D9" s="10" t="s">
        <v>13</v>
      </c>
      <c r="E9" s="10" t="s">
        <v>109</v>
      </c>
      <c r="F9" s="10" t="s">
        <v>158</v>
      </c>
      <c r="G9" s="10" t="s">
        <v>14</v>
      </c>
      <c r="H9" s="7">
        <v>2</v>
      </c>
      <c r="J9" s="69" t="str">
        <f>E9</f>
        <v>Manajemen Informasi</v>
      </c>
      <c r="K9" s="97">
        <v>2</v>
      </c>
      <c r="L9" s="97">
        <v>1</v>
      </c>
      <c r="N9" s="120" t="s">
        <v>109</v>
      </c>
      <c r="O9" s="97">
        <v>2</v>
      </c>
      <c r="P9" s="69"/>
      <c r="R9" s="120" t="str">
        <f>E9</f>
        <v>Manajemen Informasi</v>
      </c>
      <c r="S9" s="97">
        <v>2</v>
      </c>
      <c r="T9" s="96">
        <v>1</v>
      </c>
      <c r="V9" s="87" t="s">
        <v>320</v>
      </c>
      <c r="W9" s="82">
        <v>2</v>
      </c>
      <c r="X9" s="92">
        <v>4</v>
      </c>
    </row>
    <row r="10" spans="1:24" ht="15.75" customHeight="1" x14ac:dyDescent="0.15">
      <c r="A10" s="10" t="s">
        <v>6</v>
      </c>
      <c r="B10" s="10">
        <v>5</v>
      </c>
      <c r="C10" s="10" t="s">
        <v>15</v>
      </c>
      <c r="D10" s="10" t="s">
        <v>16</v>
      </c>
      <c r="E10" s="10" t="s">
        <v>110</v>
      </c>
      <c r="F10" s="10" t="s">
        <v>159</v>
      </c>
      <c r="G10" s="10" t="s">
        <v>9</v>
      </c>
      <c r="H10" s="7">
        <v>3</v>
      </c>
      <c r="J10" s="10" t="s">
        <v>110</v>
      </c>
      <c r="K10" s="82">
        <v>3</v>
      </c>
      <c r="L10" s="82">
        <v>1</v>
      </c>
      <c r="N10" s="86" t="s">
        <v>110</v>
      </c>
      <c r="O10" s="82">
        <v>3</v>
      </c>
      <c r="P10" s="50">
        <v>1</v>
      </c>
      <c r="R10" s="86" t="s">
        <v>110</v>
      </c>
      <c r="S10" s="82">
        <v>3</v>
      </c>
      <c r="T10" s="92">
        <v>1</v>
      </c>
      <c r="V10" s="86" t="s">
        <v>110</v>
      </c>
      <c r="W10" s="82">
        <v>3</v>
      </c>
      <c r="X10" s="92">
        <v>1</v>
      </c>
    </row>
    <row r="11" spans="1:24" ht="15.75" customHeight="1" x14ac:dyDescent="0.15">
      <c r="A11" s="10" t="s">
        <v>6</v>
      </c>
      <c r="B11" s="10">
        <v>6</v>
      </c>
      <c r="C11" s="10" t="s">
        <v>17</v>
      </c>
      <c r="D11" s="10" t="s">
        <v>18</v>
      </c>
      <c r="E11" s="10" t="s">
        <v>111</v>
      </c>
      <c r="F11" s="10" t="s">
        <v>160</v>
      </c>
      <c r="G11" s="10" t="s">
        <v>14</v>
      </c>
      <c r="H11" s="7">
        <v>3</v>
      </c>
      <c r="J11" s="10" t="s">
        <v>111</v>
      </c>
      <c r="K11" s="82">
        <v>3</v>
      </c>
      <c r="L11" s="82">
        <v>1</v>
      </c>
      <c r="N11" s="86" t="s">
        <v>111</v>
      </c>
      <c r="O11" s="82">
        <v>3</v>
      </c>
      <c r="P11" s="50">
        <v>1</v>
      </c>
      <c r="R11" s="86" t="s">
        <v>111</v>
      </c>
      <c r="S11" s="82">
        <v>3</v>
      </c>
      <c r="T11" s="92">
        <v>1</v>
      </c>
      <c r="V11" s="86" t="s">
        <v>111</v>
      </c>
      <c r="W11" s="82">
        <v>3</v>
      </c>
      <c r="X11" s="92">
        <v>1</v>
      </c>
    </row>
    <row r="12" spans="1:24" ht="15.75" customHeight="1" x14ac:dyDescent="0.15">
      <c r="A12" s="10" t="s">
        <v>6</v>
      </c>
      <c r="B12" s="10">
        <v>7</v>
      </c>
      <c r="C12" s="10" t="s">
        <v>19</v>
      </c>
      <c r="D12" s="10" t="s">
        <v>20</v>
      </c>
      <c r="E12" s="10" t="s">
        <v>112</v>
      </c>
      <c r="F12" s="10" t="s">
        <v>161</v>
      </c>
      <c r="G12" s="10" t="s">
        <v>9</v>
      </c>
      <c r="H12" s="7">
        <v>2</v>
      </c>
      <c r="J12" s="10" t="s">
        <v>112</v>
      </c>
      <c r="K12" s="82">
        <v>2</v>
      </c>
      <c r="L12" s="82">
        <v>2</v>
      </c>
      <c r="N12" s="86" t="s">
        <v>112</v>
      </c>
      <c r="O12" s="82">
        <v>2</v>
      </c>
      <c r="P12" s="50">
        <v>2</v>
      </c>
      <c r="R12" s="86" t="s">
        <v>112</v>
      </c>
      <c r="S12" s="82">
        <v>2</v>
      </c>
      <c r="T12" s="92">
        <v>2</v>
      </c>
      <c r="V12" s="86" t="s">
        <v>112</v>
      </c>
      <c r="W12" s="82">
        <v>2</v>
      </c>
      <c r="X12" s="92">
        <v>2</v>
      </c>
    </row>
    <row r="13" spans="1:24" ht="15.75" customHeight="1" x14ac:dyDescent="0.15">
      <c r="A13" s="11" t="s">
        <v>21</v>
      </c>
      <c r="B13" s="11">
        <v>1</v>
      </c>
      <c r="C13" s="11" t="s">
        <v>22</v>
      </c>
      <c r="D13" s="11" t="s">
        <v>23</v>
      </c>
      <c r="E13" s="11" t="s">
        <v>113</v>
      </c>
      <c r="F13" s="11" t="s">
        <v>162</v>
      </c>
      <c r="G13" s="11" t="s">
        <v>24</v>
      </c>
      <c r="H13" s="8">
        <v>2</v>
      </c>
      <c r="J13" s="111" t="str">
        <f t="shared" ref="J13:J20" si="0">E13</f>
        <v>Agama</v>
      </c>
      <c r="K13" s="112">
        <f>H13</f>
        <v>2</v>
      </c>
      <c r="L13" s="112"/>
      <c r="N13" s="116" t="s">
        <v>113</v>
      </c>
      <c r="O13" s="112">
        <v>2</v>
      </c>
      <c r="P13" s="112"/>
      <c r="R13" s="88" t="str">
        <f>E13</f>
        <v>Agama</v>
      </c>
      <c r="S13" s="82">
        <v>2</v>
      </c>
      <c r="T13" s="92">
        <v>2</v>
      </c>
      <c r="V13" s="50" t="str">
        <f t="shared" ref="V13" si="1">E13</f>
        <v>Agama</v>
      </c>
      <c r="W13" s="82">
        <v>2</v>
      </c>
      <c r="X13" s="92">
        <v>2</v>
      </c>
    </row>
    <row r="14" spans="1:24" ht="15.75" customHeight="1" x14ac:dyDescent="0.15">
      <c r="A14" s="11" t="s">
        <v>21</v>
      </c>
      <c r="B14" s="11">
        <v>2</v>
      </c>
      <c r="C14" s="11" t="s">
        <v>25</v>
      </c>
      <c r="D14" s="11" t="s">
        <v>26</v>
      </c>
      <c r="E14" s="11" t="s">
        <v>114</v>
      </c>
      <c r="F14" s="11" t="s">
        <v>163</v>
      </c>
      <c r="G14" s="11" t="s">
        <v>14</v>
      </c>
      <c r="H14" s="8">
        <v>3</v>
      </c>
      <c r="J14" s="50" t="str">
        <f t="shared" si="0"/>
        <v>Algoritme dan Struktur Data</v>
      </c>
      <c r="K14" s="82">
        <v>3</v>
      </c>
      <c r="L14" s="82">
        <v>2</v>
      </c>
      <c r="N14" s="88" t="str">
        <f>J14</f>
        <v>Algoritme dan Struktur Data</v>
      </c>
      <c r="O14" s="82">
        <v>3</v>
      </c>
      <c r="P14" s="50">
        <v>2</v>
      </c>
      <c r="R14" s="88" t="str">
        <f t="shared" ref="R14:R22" si="2">N14</f>
        <v>Algoritme dan Struktur Data</v>
      </c>
      <c r="S14" s="82">
        <v>3</v>
      </c>
      <c r="T14" s="92">
        <v>2</v>
      </c>
      <c r="V14" s="88" t="str">
        <f t="shared" ref="V14:V22" si="3">R14</f>
        <v>Algoritme dan Struktur Data</v>
      </c>
      <c r="W14" s="82">
        <v>3</v>
      </c>
      <c r="X14" s="92">
        <v>2</v>
      </c>
    </row>
    <row r="15" spans="1:24" ht="15.75" customHeight="1" x14ac:dyDescent="0.15">
      <c r="A15" s="11" t="s">
        <v>21</v>
      </c>
      <c r="B15" s="11">
        <v>3</v>
      </c>
      <c r="C15" s="11" t="s">
        <v>27</v>
      </c>
      <c r="D15" s="11" t="s">
        <v>28</v>
      </c>
      <c r="E15" s="11" t="s">
        <v>115</v>
      </c>
      <c r="F15" s="11" t="s">
        <v>164</v>
      </c>
      <c r="G15" s="11" t="s">
        <v>14</v>
      </c>
      <c r="H15" s="8">
        <v>3</v>
      </c>
      <c r="J15" s="69" t="str">
        <f t="shared" si="0"/>
        <v>Arsitektur Komputer</v>
      </c>
      <c r="K15" s="97">
        <f>H15</f>
        <v>3</v>
      </c>
      <c r="L15" s="97">
        <v>2</v>
      </c>
      <c r="N15" s="88" t="str">
        <f>E15</f>
        <v>Arsitektur Komputer</v>
      </c>
      <c r="O15" s="82">
        <v>3</v>
      </c>
      <c r="P15" s="50">
        <v>3</v>
      </c>
      <c r="R15" s="88" t="str">
        <f t="shared" si="2"/>
        <v>Arsitektur Komputer</v>
      </c>
      <c r="S15" s="82">
        <v>3</v>
      </c>
      <c r="T15" s="92">
        <v>3</v>
      </c>
      <c r="V15" s="88" t="str">
        <f t="shared" si="3"/>
        <v>Arsitektur Komputer</v>
      </c>
      <c r="W15" s="82">
        <v>3</v>
      </c>
      <c r="X15" s="92">
        <v>3</v>
      </c>
    </row>
    <row r="16" spans="1:24" ht="15.75" customHeight="1" x14ac:dyDescent="0.15">
      <c r="A16" s="11" t="s">
        <v>21</v>
      </c>
      <c r="B16" s="11">
        <v>4</v>
      </c>
      <c r="C16" s="11" t="s">
        <v>29</v>
      </c>
      <c r="D16" s="11" t="s">
        <v>30</v>
      </c>
      <c r="E16" s="11" t="s">
        <v>116</v>
      </c>
      <c r="F16" s="11" t="s">
        <v>165</v>
      </c>
      <c r="G16" s="11" t="s">
        <v>9</v>
      </c>
      <c r="H16" s="8">
        <v>3</v>
      </c>
      <c r="J16" s="50" t="str">
        <f t="shared" si="0"/>
        <v>Kalkulus Variabel Jamak</v>
      </c>
      <c r="K16" s="82">
        <f>H16</f>
        <v>3</v>
      </c>
      <c r="L16" s="82">
        <v>2</v>
      </c>
      <c r="N16" s="88" t="str">
        <f>J16</f>
        <v>Kalkulus Variabel Jamak</v>
      </c>
      <c r="O16" s="82">
        <f>L16</f>
        <v>2</v>
      </c>
      <c r="P16" s="50">
        <v>2</v>
      </c>
      <c r="R16" s="88" t="str">
        <f t="shared" si="2"/>
        <v>Kalkulus Variabel Jamak</v>
      </c>
      <c r="S16" s="82">
        <f>P16</f>
        <v>2</v>
      </c>
      <c r="T16" s="92">
        <v>2</v>
      </c>
      <c r="V16" s="88" t="str">
        <f t="shared" si="3"/>
        <v>Kalkulus Variabel Jamak</v>
      </c>
      <c r="W16" s="82">
        <f>T16</f>
        <v>2</v>
      </c>
      <c r="X16" s="92">
        <v>2</v>
      </c>
    </row>
    <row r="17" spans="1:24" ht="15.75" customHeight="1" x14ac:dyDescent="0.15">
      <c r="A17" s="11" t="s">
        <v>21</v>
      </c>
      <c r="B17" s="11">
        <v>5</v>
      </c>
      <c r="C17" s="11" t="s">
        <v>31</v>
      </c>
      <c r="D17" s="11" t="s">
        <v>32</v>
      </c>
      <c r="E17" s="11" t="s">
        <v>117</v>
      </c>
      <c r="F17" s="11" t="s">
        <v>166</v>
      </c>
      <c r="G17" s="11" t="s">
        <v>14</v>
      </c>
      <c r="H17" s="8">
        <v>1</v>
      </c>
      <c r="J17" s="50" t="str">
        <f t="shared" si="0"/>
        <v>Praktikum Pemrograman Dasar</v>
      </c>
      <c r="K17" s="82">
        <v>1</v>
      </c>
      <c r="L17" s="82">
        <v>2</v>
      </c>
      <c r="N17" s="88" t="str">
        <f>J17</f>
        <v>Praktikum Pemrograman Dasar</v>
      </c>
      <c r="O17" s="82">
        <v>1</v>
      </c>
      <c r="P17" s="50">
        <v>2</v>
      </c>
      <c r="R17" s="88" t="str">
        <f t="shared" si="2"/>
        <v>Praktikum Pemrograman Dasar</v>
      </c>
      <c r="S17" s="82">
        <v>1</v>
      </c>
      <c r="T17" s="92">
        <v>2</v>
      </c>
      <c r="V17" s="88" t="str">
        <f t="shared" si="3"/>
        <v>Praktikum Pemrograman Dasar</v>
      </c>
      <c r="W17" s="82">
        <v>1</v>
      </c>
      <c r="X17" s="92">
        <v>2</v>
      </c>
    </row>
    <row r="18" spans="1:24" ht="15.75" customHeight="1" x14ac:dyDescent="0.15">
      <c r="A18" s="11" t="s">
        <v>21</v>
      </c>
      <c r="B18" s="11">
        <v>6</v>
      </c>
      <c r="C18" s="11" t="s">
        <v>33</v>
      </c>
      <c r="D18" s="11" t="s">
        <v>34</v>
      </c>
      <c r="E18" s="11" t="s">
        <v>118</v>
      </c>
      <c r="F18" s="11" t="s">
        <v>167</v>
      </c>
      <c r="G18" s="11" t="s">
        <v>9</v>
      </c>
      <c r="H18" s="8">
        <v>2</v>
      </c>
      <c r="J18" s="69" t="str">
        <f t="shared" si="0"/>
        <v>Statistika</v>
      </c>
      <c r="K18" s="97">
        <f>H18</f>
        <v>2</v>
      </c>
      <c r="L18" s="97">
        <v>2</v>
      </c>
      <c r="N18" s="88" t="str">
        <f>E18</f>
        <v>Statistika</v>
      </c>
      <c r="O18" s="82">
        <v>2</v>
      </c>
      <c r="P18" s="50">
        <v>3</v>
      </c>
      <c r="R18" s="88" t="str">
        <f t="shared" si="2"/>
        <v>Statistika</v>
      </c>
      <c r="S18" s="82">
        <v>2</v>
      </c>
      <c r="T18" s="92">
        <v>3</v>
      </c>
      <c r="V18" s="88" t="str">
        <f t="shared" si="3"/>
        <v>Statistika</v>
      </c>
      <c r="W18" s="82">
        <v>2</v>
      </c>
      <c r="X18" s="92">
        <v>3</v>
      </c>
    </row>
    <row r="19" spans="1:24" ht="15.75" customHeight="1" x14ac:dyDescent="0.15">
      <c r="A19" s="11" t="s">
        <v>21</v>
      </c>
      <c r="B19" s="11">
        <v>7</v>
      </c>
      <c r="C19" s="11" t="s">
        <v>22</v>
      </c>
      <c r="D19" s="11" t="s">
        <v>35</v>
      </c>
      <c r="E19" s="11" t="s">
        <v>119</v>
      </c>
      <c r="F19" s="11" t="s">
        <v>168</v>
      </c>
      <c r="G19" s="11" t="s">
        <v>24</v>
      </c>
      <c r="H19" s="8">
        <v>3</v>
      </c>
      <c r="J19" s="50" t="str">
        <f t="shared" si="0"/>
        <v>Konsep Keteknikan untuk Peradaban</v>
      </c>
      <c r="K19" s="82">
        <v>2</v>
      </c>
      <c r="L19" s="82">
        <v>2</v>
      </c>
      <c r="N19" s="88" t="str">
        <f>J19</f>
        <v>Konsep Keteknikan untuk Peradaban</v>
      </c>
      <c r="O19" s="82">
        <v>2</v>
      </c>
      <c r="P19" s="50">
        <v>2</v>
      </c>
      <c r="R19" s="88" t="str">
        <f t="shared" si="2"/>
        <v>Konsep Keteknikan untuk Peradaban</v>
      </c>
      <c r="S19" s="82">
        <v>2</v>
      </c>
      <c r="T19" s="92">
        <v>2</v>
      </c>
      <c r="V19" s="88" t="str">
        <f t="shared" si="3"/>
        <v>Konsep Keteknikan untuk Peradaban</v>
      </c>
      <c r="W19" s="82">
        <v>2</v>
      </c>
      <c r="X19" s="92">
        <v>2</v>
      </c>
    </row>
    <row r="20" spans="1:24" ht="15.75" customHeight="1" x14ac:dyDescent="0.15">
      <c r="A20" s="11" t="s">
        <v>21</v>
      </c>
      <c r="B20" s="11">
        <v>8</v>
      </c>
      <c r="C20" s="11" t="s">
        <v>36</v>
      </c>
      <c r="D20" s="11" t="s">
        <v>37</v>
      </c>
      <c r="E20" s="11" t="s">
        <v>120</v>
      </c>
      <c r="F20" s="11" t="s">
        <v>169</v>
      </c>
      <c r="G20" s="11" t="s">
        <v>14</v>
      </c>
      <c r="H20" s="8">
        <v>3</v>
      </c>
      <c r="J20" s="69" t="str">
        <f t="shared" si="0"/>
        <v>Teknologi Basis Data</v>
      </c>
      <c r="K20" s="97">
        <f>H20</f>
        <v>3</v>
      </c>
      <c r="L20" s="97">
        <v>2</v>
      </c>
      <c r="N20" s="88" t="str">
        <f>E20</f>
        <v>Teknologi Basis Data</v>
      </c>
      <c r="O20" s="82">
        <v>3</v>
      </c>
      <c r="P20" s="50">
        <v>4</v>
      </c>
      <c r="R20" s="88" t="str">
        <f t="shared" si="2"/>
        <v>Teknologi Basis Data</v>
      </c>
      <c r="S20" s="82">
        <v>3</v>
      </c>
      <c r="T20" s="92">
        <v>4</v>
      </c>
      <c r="V20" s="88" t="str">
        <f t="shared" si="3"/>
        <v>Teknologi Basis Data</v>
      </c>
      <c r="W20" s="82">
        <v>3</v>
      </c>
      <c r="X20" s="92">
        <v>4</v>
      </c>
    </row>
    <row r="21" spans="1:24" ht="15.75" customHeight="1" x14ac:dyDescent="0.15">
      <c r="A21" s="10" t="s">
        <v>38</v>
      </c>
      <c r="B21" s="10">
        <v>1</v>
      </c>
      <c r="C21" s="10" t="s">
        <v>39</v>
      </c>
      <c r="D21" s="10" t="s">
        <v>40</v>
      </c>
      <c r="E21" s="10" t="s">
        <v>121</v>
      </c>
      <c r="F21" s="10" t="s">
        <v>170</v>
      </c>
      <c r="G21" s="10" t="s">
        <v>14</v>
      </c>
      <c r="H21" s="7">
        <v>3</v>
      </c>
      <c r="J21" s="81" t="s">
        <v>121</v>
      </c>
      <c r="K21" s="97">
        <v>3</v>
      </c>
      <c r="L21" s="97">
        <v>3</v>
      </c>
      <c r="N21" s="88" t="str">
        <f>E21</f>
        <v>Isyarat dan Sistem</v>
      </c>
      <c r="O21" s="82">
        <v>3</v>
      </c>
      <c r="P21" s="50">
        <v>3</v>
      </c>
      <c r="R21" s="88" t="str">
        <f t="shared" si="2"/>
        <v>Isyarat dan Sistem</v>
      </c>
      <c r="S21" s="82">
        <v>3</v>
      </c>
      <c r="T21" s="92">
        <v>3</v>
      </c>
      <c r="V21" s="88" t="str">
        <f t="shared" si="3"/>
        <v>Isyarat dan Sistem</v>
      </c>
      <c r="W21" s="82">
        <v>3</v>
      </c>
      <c r="X21" s="92">
        <v>3</v>
      </c>
    </row>
    <row r="22" spans="1:24" ht="15.75" customHeight="1" x14ac:dyDescent="0.15">
      <c r="A22" s="10" t="s">
        <v>38</v>
      </c>
      <c r="B22" s="10">
        <v>2</v>
      </c>
      <c r="C22" s="10" t="s">
        <v>41</v>
      </c>
      <c r="D22" s="10" t="s">
        <v>42</v>
      </c>
      <c r="E22" s="10" t="s">
        <v>122</v>
      </c>
      <c r="F22" s="10" t="s">
        <v>171</v>
      </c>
      <c r="G22" s="10" t="s">
        <v>14</v>
      </c>
      <c r="H22" s="7">
        <v>3</v>
      </c>
      <c r="J22" s="69" t="str">
        <f t="shared" ref="J22:J55" si="4">E22</f>
        <v>Jaringan Komputer</v>
      </c>
      <c r="K22" s="97">
        <v>3</v>
      </c>
      <c r="L22" s="97">
        <v>3</v>
      </c>
      <c r="N22" s="88" t="str">
        <f>E22</f>
        <v>Jaringan Komputer</v>
      </c>
      <c r="O22" s="82">
        <v>3</v>
      </c>
      <c r="P22" s="50">
        <v>4</v>
      </c>
      <c r="R22" s="88" t="str">
        <f t="shared" si="2"/>
        <v>Jaringan Komputer</v>
      </c>
      <c r="S22" s="82">
        <v>3</v>
      </c>
      <c r="T22" s="92">
        <v>4</v>
      </c>
      <c r="V22" s="88" t="str">
        <f t="shared" si="3"/>
        <v>Jaringan Komputer</v>
      </c>
      <c r="W22" s="82">
        <v>3</v>
      </c>
      <c r="X22" s="92">
        <v>4</v>
      </c>
    </row>
    <row r="23" spans="1:24" ht="15.75" customHeight="1" x14ac:dyDescent="0.15">
      <c r="A23" s="10" t="s">
        <v>38</v>
      </c>
      <c r="B23" s="10">
        <v>3</v>
      </c>
      <c r="C23" s="10" t="s">
        <v>43</v>
      </c>
      <c r="D23" s="10" t="s">
        <v>44</v>
      </c>
      <c r="E23" s="10" t="s">
        <v>123</v>
      </c>
      <c r="F23" s="10" t="s">
        <v>172</v>
      </c>
      <c r="G23" s="10" t="s">
        <v>14</v>
      </c>
      <c r="H23" s="7">
        <v>3</v>
      </c>
      <c r="J23" s="111" t="str">
        <f t="shared" si="4"/>
        <v>Kecerdasan Artifisial</v>
      </c>
      <c r="K23" s="112">
        <v>3</v>
      </c>
      <c r="L23" s="112">
        <v>3</v>
      </c>
      <c r="N23" s="87" t="s">
        <v>322</v>
      </c>
      <c r="O23" s="82">
        <v>3</v>
      </c>
      <c r="P23" s="50">
        <v>4</v>
      </c>
      <c r="R23" s="87" t="s">
        <v>322</v>
      </c>
      <c r="S23" s="82">
        <v>3</v>
      </c>
      <c r="T23" s="92">
        <v>4</v>
      </c>
      <c r="V23" s="87" t="s">
        <v>322</v>
      </c>
      <c r="W23" s="82">
        <v>3</v>
      </c>
      <c r="X23" s="92">
        <v>4</v>
      </c>
    </row>
    <row r="24" spans="1:24" ht="15.75" customHeight="1" x14ac:dyDescent="0.15">
      <c r="A24" s="10" t="s">
        <v>38</v>
      </c>
      <c r="B24" s="10">
        <v>4</v>
      </c>
      <c r="C24" s="10" t="s">
        <v>45</v>
      </c>
      <c r="D24" s="10" t="s">
        <v>46</v>
      </c>
      <c r="E24" s="10" t="s">
        <v>124</v>
      </c>
      <c r="F24" s="10" t="s">
        <v>173</v>
      </c>
      <c r="G24" s="10" t="s">
        <v>14</v>
      </c>
      <c r="H24" s="7">
        <v>3</v>
      </c>
      <c r="J24" s="69" t="str">
        <f t="shared" si="4"/>
        <v>Metode Numeris</v>
      </c>
      <c r="K24" s="97">
        <v>3</v>
      </c>
      <c r="L24" s="97">
        <v>3</v>
      </c>
      <c r="N24" s="88" t="str">
        <f t="shared" ref="N24:N29" si="5">E24</f>
        <v>Metode Numeris</v>
      </c>
      <c r="O24" s="82">
        <v>3</v>
      </c>
      <c r="P24" s="50">
        <v>3</v>
      </c>
      <c r="R24" s="88" t="str">
        <f>N24</f>
        <v>Metode Numeris</v>
      </c>
      <c r="S24" s="82">
        <v>3</v>
      </c>
      <c r="T24" s="92">
        <v>3</v>
      </c>
      <c r="V24" s="88" t="str">
        <f>R24</f>
        <v>Metode Numeris</v>
      </c>
      <c r="W24" s="82">
        <v>3</v>
      </c>
      <c r="X24" s="92">
        <v>3</v>
      </c>
    </row>
    <row r="25" spans="1:24" ht="15.75" customHeight="1" x14ac:dyDescent="0.15">
      <c r="A25" s="10" t="s">
        <v>38</v>
      </c>
      <c r="B25" s="10">
        <v>5</v>
      </c>
      <c r="C25" s="10" t="s">
        <v>47</v>
      </c>
      <c r="D25" s="10" t="s">
        <v>48</v>
      </c>
      <c r="E25" s="10" t="s">
        <v>125</v>
      </c>
      <c r="F25" s="10" t="s">
        <v>174</v>
      </c>
      <c r="G25" s="10" t="s">
        <v>14</v>
      </c>
      <c r="H25" s="7">
        <v>3</v>
      </c>
      <c r="J25" s="69" t="str">
        <f t="shared" si="4"/>
        <v>Pemrograman Berorientasi Obyek</v>
      </c>
      <c r="K25" s="97">
        <v>3</v>
      </c>
      <c r="L25" s="97">
        <v>3</v>
      </c>
      <c r="N25" s="88" t="str">
        <f t="shared" si="5"/>
        <v>Pemrograman Berorientasi Obyek</v>
      </c>
      <c r="O25" s="82">
        <v>3</v>
      </c>
      <c r="P25" s="50">
        <v>3</v>
      </c>
      <c r="R25" s="88" t="str">
        <f>N25</f>
        <v>Pemrograman Berorientasi Obyek</v>
      </c>
      <c r="S25" s="82">
        <v>3</v>
      </c>
      <c r="T25" s="92">
        <v>3</v>
      </c>
      <c r="V25" s="88" t="str">
        <f>R25</f>
        <v>Pemrograman Berorientasi Obyek</v>
      </c>
      <c r="W25" s="82">
        <v>3</v>
      </c>
      <c r="X25" s="92">
        <v>3</v>
      </c>
    </row>
    <row r="26" spans="1:24" ht="15.75" customHeight="1" x14ac:dyDescent="0.15">
      <c r="A26" s="10" t="s">
        <v>38</v>
      </c>
      <c r="B26" s="10">
        <v>6</v>
      </c>
      <c r="C26" s="10" t="s">
        <v>49</v>
      </c>
      <c r="D26" s="10" t="s">
        <v>50</v>
      </c>
      <c r="E26" s="10" t="s">
        <v>126</v>
      </c>
      <c r="F26" s="10" t="s">
        <v>175</v>
      </c>
      <c r="G26" s="10" t="s">
        <v>9</v>
      </c>
      <c r="H26" s="7">
        <v>3</v>
      </c>
      <c r="J26" s="111" t="str">
        <f t="shared" si="4"/>
        <v>Persamaan Diferensial</v>
      </c>
      <c r="K26" s="112">
        <v>3</v>
      </c>
      <c r="L26" s="112">
        <v>3</v>
      </c>
      <c r="N26" s="88" t="str">
        <f t="shared" si="5"/>
        <v>Persamaan Diferensial</v>
      </c>
      <c r="O26" s="82">
        <v>3</v>
      </c>
      <c r="P26" s="50">
        <v>3</v>
      </c>
      <c r="R26" s="88" t="str">
        <f>N26</f>
        <v>Persamaan Diferensial</v>
      </c>
      <c r="S26" s="82">
        <v>3</v>
      </c>
      <c r="T26" s="92">
        <v>3</v>
      </c>
      <c r="V26" s="88" t="str">
        <f>R26</f>
        <v>Persamaan Diferensial</v>
      </c>
      <c r="W26" s="82">
        <v>3</v>
      </c>
      <c r="X26" s="92">
        <v>3</v>
      </c>
    </row>
    <row r="27" spans="1:24" ht="15.75" customHeight="1" x14ac:dyDescent="0.15">
      <c r="A27" s="10" t="s">
        <v>38</v>
      </c>
      <c r="B27" s="10">
        <v>7</v>
      </c>
      <c r="C27" s="10" t="s">
        <v>51</v>
      </c>
      <c r="D27" s="10" t="s">
        <v>52</v>
      </c>
      <c r="E27" s="10" t="s">
        <v>127</v>
      </c>
      <c r="F27" s="10" t="s">
        <v>176</v>
      </c>
      <c r="G27" s="10" t="s">
        <v>9</v>
      </c>
      <c r="H27" s="7">
        <v>1</v>
      </c>
      <c r="J27" s="69" t="str">
        <f t="shared" si="4"/>
        <v>Praktikum Sains Dasar</v>
      </c>
      <c r="K27" s="97">
        <v>1</v>
      </c>
      <c r="L27" s="97">
        <v>3</v>
      </c>
      <c r="M27">
        <f>SUM(K24:K27)-K26+SUM(K20:K22)+K18+K15+K9</f>
        <v>23</v>
      </c>
      <c r="N27" s="88" t="str">
        <f t="shared" si="5"/>
        <v>Praktikum Sains Dasar</v>
      </c>
      <c r="O27" s="82">
        <v>1</v>
      </c>
      <c r="P27" s="50">
        <v>3</v>
      </c>
      <c r="R27" s="88" t="str">
        <f>N27</f>
        <v>Praktikum Sains Dasar</v>
      </c>
      <c r="S27" s="82">
        <v>1</v>
      </c>
      <c r="T27" s="92">
        <v>3</v>
      </c>
      <c r="V27" s="88" t="str">
        <f>R27</f>
        <v>Praktikum Sains Dasar</v>
      </c>
      <c r="W27" s="82">
        <v>1</v>
      </c>
      <c r="X27" s="92">
        <v>3</v>
      </c>
    </row>
    <row r="28" spans="1:24" ht="15.75" customHeight="1" x14ac:dyDescent="0.15">
      <c r="A28" s="10" t="s">
        <v>38</v>
      </c>
      <c r="B28" s="10">
        <v>8</v>
      </c>
      <c r="C28" s="10" t="s">
        <v>53</v>
      </c>
      <c r="D28" s="10" t="s">
        <v>54</v>
      </c>
      <c r="E28" s="10" t="s">
        <v>128</v>
      </c>
      <c r="F28" s="10" t="s">
        <v>177</v>
      </c>
      <c r="G28" s="10" t="s">
        <v>14</v>
      </c>
      <c r="H28" s="7">
        <v>2</v>
      </c>
      <c r="J28" s="111" t="str">
        <f t="shared" si="4"/>
        <v>Sistem Operasi</v>
      </c>
      <c r="K28" s="112">
        <v>2</v>
      </c>
      <c r="L28" s="112">
        <v>3</v>
      </c>
      <c r="N28" s="101" t="s">
        <v>128</v>
      </c>
      <c r="O28" s="102">
        <v>2</v>
      </c>
      <c r="P28" s="103">
        <v>5</v>
      </c>
      <c r="R28" s="88" t="str">
        <f>E28</f>
        <v>Sistem Operasi</v>
      </c>
      <c r="S28" s="92">
        <v>3</v>
      </c>
      <c r="T28" s="92">
        <v>5</v>
      </c>
      <c r="V28" s="50" t="str">
        <f t="shared" ref="V28:V29" si="6">E28</f>
        <v>Sistem Operasi</v>
      </c>
      <c r="W28" s="92">
        <v>3</v>
      </c>
      <c r="X28" s="92">
        <v>5</v>
      </c>
    </row>
    <row r="29" spans="1:24" ht="15.75" customHeight="1" x14ac:dyDescent="0.15">
      <c r="A29" s="11" t="s">
        <v>55</v>
      </c>
      <c r="B29" s="11">
        <v>1</v>
      </c>
      <c r="C29" s="11" t="s">
        <v>56</v>
      </c>
      <c r="D29" s="11" t="s">
        <v>57</v>
      </c>
      <c r="E29" s="11" t="s">
        <v>129</v>
      </c>
      <c r="F29" s="11" t="s">
        <v>178</v>
      </c>
      <c r="G29" s="11" t="s">
        <v>14</v>
      </c>
      <c r="H29" s="8">
        <v>2</v>
      </c>
      <c r="J29" s="111" t="str">
        <f t="shared" si="4"/>
        <v>Komputasi Awan</v>
      </c>
      <c r="K29" s="112">
        <f t="shared" ref="K29:K55" si="7">H29</f>
        <v>2</v>
      </c>
      <c r="L29" s="112">
        <v>4</v>
      </c>
      <c r="N29" s="90" t="str">
        <f t="shared" si="5"/>
        <v>Komputasi Awan</v>
      </c>
      <c r="O29" s="83">
        <v>2</v>
      </c>
      <c r="P29" s="76">
        <v>5</v>
      </c>
      <c r="R29" s="88" t="str">
        <f>E29</f>
        <v>Komputasi Awan</v>
      </c>
      <c r="S29" s="92">
        <v>2</v>
      </c>
      <c r="T29" s="92">
        <v>5</v>
      </c>
      <c r="V29" s="50" t="str">
        <f t="shared" si="6"/>
        <v>Komputasi Awan</v>
      </c>
      <c r="W29" s="92">
        <v>2</v>
      </c>
      <c r="X29" s="92">
        <v>5</v>
      </c>
    </row>
    <row r="30" spans="1:24" ht="15.75" customHeight="1" x14ac:dyDescent="0.15">
      <c r="A30" s="11" t="s">
        <v>55</v>
      </c>
      <c r="B30" s="11">
        <v>2</v>
      </c>
      <c r="C30" s="11" t="s">
        <v>22</v>
      </c>
      <c r="D30" s="11" t="s">
        <v>58</v>
      </c>
      <c r="E30" s="11" t="s">
        <v>130</v>
      </c>
      <c r="F30" s="11" t="s">
        <v>179</v>
      </c>
      <c r="G30" s="11" t="s">
        <v>24</v>
      </c>
      <c r="H30" s="8">
        <v>2</v>
      </c>
      <c r="J30" s="111" t="str">
        <f t="shared" si="4"/>
        <v>Literasi Kesehatan</v>
      </c>
      <c r="K30" s="112">
        <f t="shared" si="7"/>
        <v>2</v>
      </c>
      <c r="L30" s="112">
        <v>4</v>
      </c>
      <c r="N30" s="116" t="s">
        <v>130</v>
      </c>
      <c r="O30" s="112">
        <v>2</v>
      </c>
      <c r="P30" s="112">
        <v>4</v>
      </c>
      <c r="R30" s="116" t="s">
        <v>130</v>
      </c>
      <c r="S30" s="112">
        <v>2</v>
      </c>
      <c r="T30" s="112">
        <v>4</v>
      </c>
      <c r="V30" s="116" t="s">
        <v>130</v>
      </c>
      <c r="W30" s="112">
        <v>2</v>
      </c>
      <c r="X30" s="112">
        <v>4</v>
      </c>
    </row>
    <row r="31" spans="1:24" ht="15.75" customHeight="1" x14ac:dyDescent="0.15">
      <c r="A31" s="11" t="s">
        <v>55</v>
      </c>
      <c r="B31" s="11">
        <v>3</v>
      </c>
      <c r="C31" s="11" t="s">
        <v>59</v>
      </c>
      <c r="D31" s="11" t="s">
        <v>60</v>
      </c>
      <c r="E31" s="11" t="s">
        <v>131</v>
      </c>
      <c r="F31" s="11" t="s">
        <v>180</v>
      </c>
      <c r="G31" s="11" t="s">
        <v>14</v>
      </c>
      <c r="H31" s="8">
        <v>3</v>
      </c>
      <c r="J31" s="111" t="str">
        <f t="shared" si="4"/>
        <v>Pengembangan Aplikasi Web</v>
      </c>
      <c r="K31" s="112">
        <f t="shared" si="7"/>
        <v>3</v>
      </c>
      <c r="L31" s="112">
        <v>4</v>
      </c>
      <c r="N31" s="90" t="str">
        <f>E31</f>
        <v>Pengembangan Aplikasi Web</v>
      </c>
      <c r="O31" s="83">
        <v>3</v>
      </c>
      <c r="P31" s="76">
        <v>5</v>
      </c>
      <c r="R31" s="50" t="str">
        <f>E31</f>
        <v>Pengembangan Aplikasi Web</v>
      </c>
      <c r="S31" s="92">
        <v>3</v>
      </c>
      <c r="T31" s="92">
        <v>5</v>
      </c>
      <c r="V31" s="50" t="str">
        <f t="shared" ref="V31:V34" si="8">E31</f>
        <v>Pengembangan Aplikasi Web</v>
      </c>
      <c r="W31" s="92">
        <v>3</v>
      </c>
      <c r="X31" s="92">
        <v>5</v>
      </c>
    </row>
    <row r="32" spans="1:24" ht="15.75" customHeight="1" x14ac:dyDescent="0.15">
      <c r="A32" s="11" t="s">
        <v>55</v>
      </c>
      <c r="B32" s="11">
        <v>4</v>
      </c>
      <c r="C32" s="11" t="s">
        <v>61</v>
      </c>
      <c r="D32" s="11" t="s">
        <v>62</v>
      </c>
      <c r="E32" s="11" t="s">
        <v>132</v>
      </c>
      <c r="F32" s="11" t="s">
        <v>181</v>
      </c>
      <c r="G32" s="11" t="s">
        <v>14</v>
      </c>
      <c r="H32" s="8">
        <v>2</v>
      </c>
      <c r="J32" s="111" t="str">
        <f t="shared" si="4"/>
        <v>Proyek Junior Teknologi Informasi</v>
      </c>
      <c r="K32" s="112">
        <f t="shared" si="7"/>
        <v>2</v>
      </c>
      <c r="L32" s="112">
        <v>4</v>
      </c>
      <c r="N32" s="90" t="str">
        <f>E32</f>
        <v>Proyek Junior Teknologi Informasi</v>
      </c>
      <c r="O32" s="83">
        <v>2</v>
      </c>
      <c r="P32" s="76">
        <v>5</v>
      </c>
      <c r="R32" s="50" t="str">
        <f>E32</f>
        <v>Proyek Junior Teknologi Informasi</v>
      </c>
      <c r="S32" s="92">
        <v>2</v>
      </c>
      <c r="T32" s="92">
        <v>5</v>
      </c>
      <c r="V32" s="50" t="str">
        <f t="shared" si="8"/>
        <v>Proyek Junior Teknologi Informasi</v>
      </c>
      <c r="W32" s="92">
        <v>2</v>
      </c>
      <c r="X32" s="92">
        <v>5</v>
      </c>
    </row>
    <row r="33" spans="1:24" ht="15.75" customHeight="1" x14ac:dyDescent="0.15">
      <c r="A33" s="11" t="s">
        <v>55</v>
      </c>
      <c r="B33" s="11">
        <v>5</v>
      </c>
      <c r="C33" s="11" t="s">
        <v>63</v>
      </c>
      <c r="D33" s="11" t="s">
        <v>64</v>
      </c>
      <c r="E33" s="11" t="s">
        <v>133</v>
      </c>
      <c r="F33" s="11" t="s">
        <v>182</v>
      </c>
      <c r="G33" s="11" t="s">
        <v>14</v>
      </c>
      <c r="H33" s="8">
        <v>3</v>
      </c>
      <c r="J33" s="111" t="str">
        <f t="shared" si="4"/>
        <v>Rekayasa Data</v>
      </c>
      <c r="K33" s="112">
        <f t="shared" si="7"/>
        <v>3</v>
      </c>
      <c r="L33" s="112">
        <v>4</v>
      </c>
      <c r="N33" s="90" t="str">
        <f>E33</f>
        <v>Rekayasa Data</v>
      </c>
      <c r="O33" s="83">
        <v>3</v>
      </c>
      <c r="P33" s="76">
        <v>5</v>
      </c>
      <c r="R33" s="50" t="str">
        <f>E33</f>
        <v>Rekayasa Data</v>
      </c>
      <c r="S33" s="92">
        <v>3</v>
      </c>
      <c r="T33" s="92">
        <v>5</v>
      </c>
      <c r="V33" s="50" t="str">
        <f t="shared" si="8"/>
        <v>Rekayasa Data</v>
      </c>
      <c r="W33" s="92">
        <v>3</v>
      </c>
      <c r="X33" s="92">
        <v>5</v>
      </c>
    </row>
    <row r="34" spans="1:24" ht="15.75" customHeight="1" x14ac:dyDescent="0.15">
      <c r="A34" s="11" t="s">
        <v>55</v>
      </c>
      <c r="B34" s="11">
        <v>6</v>
      </c>
      <c r="C34" s="11" t="s">
        <v>65</v>
      </c>
      <c r="D34" s="11" t="s">
        <v>66</v>
      </c>
      <c r="E34" s="11" t="s">
        <v>134</v>
      </c>
      <c r="F34" s="11" t="s">
        <v>183</v>
      </c>
      <c r="G34" s="11" t="s">
        <v>14</v>
      </c>
      <c r="H34" s="8">
        <v>3</v>
      </c>
      <c r="J34" s="111" t="str">
        <f t="shared" si="4"/>
        <v>Rekayasa Perangkat Lunak</v>
      </c>
      <c r="K34" s="112">
        <f t="shared" si="7"/>
        <v>3</v>
      </c>
      <c r="L34" s="112">
        <v>4</v>
      </c>
      <c r="N34" s="90" t="str">
        <f>E34</f>
        <v>Rekayasa Perangkat Lunak</v>
      </c>
      <c r="O34" s="83">
        <v>3</v>
      </c>
      <c r="P34" s="76">
        <v>5</v>
      </c>
      <c r="R34" s="50" t="str">
        <f>E34</f>
        <v>Rekayasa Perangkat Lunak</v>
      </c>
      <c r="S34" s="92">
        <v>3</v>
      </c>
      <c r="T34" s="92">
        <v>5</v>
      </c>
      <c r="V34" s="50" t="str">
        <f t="shared" si="8"/>
        <v>Rekayasa Perangkat Lunak</v>
      </c>
      <c r="W34" s="92">
        <v>3</v>
      </c>
      <c r="X34" s="92">
        <v>5</v>
      </c>
    </row>
    <row r="35" spans="1:24" ht="15.75" customHeight="1" x14ac:dyDescent="0.15">
      <c r="A35" s="11" t="s">
        <v>55</v>
      </c>
      <c r="B35" s="11">
        <v>7</v>
      </c>
      <c r="C35" s="11" t="s">
        <v>67</v>
      </c>
      <c r="D35" s="11" t="s">
        <v>68</v>
      </c>
      <c r="E35" s="11" t="s">
        <v>135</v>
      </c>
      <c r="F35" s="11" t="s">
        <v>184</v>
      </c>
      <c r="G35" s="11" t="s">
        <v>14</v>
      </c>
      <c r="H35" s="8">
        <v>3</v>
      </c>
      <c r="J35" s="111" t="str">
        <f t="shared" si="4"/>
        <v>Sistem Terdistribusi</v>
      </c>
      <c r="K35" s="112">
        <f t="shared" si="7"/>
        <v>3</v>
      </c>
      <c r="L35" s="112">
        <v>4</v>
      </c>
      <c r="N35" s="87" t="s">
        <v>313</v>
      </c>
      <c r="O35" s="82">
        <v>3</v>
      </c>
      <c r="P35" s="50">
        <v>3</v>
      </c>
      <c r="R35" s="87" t="str">
        <f>V35</f>
        <v>Komunikasi Data dan Komputer</v>
      </c>
      <c r="S35" s="82">
        <v>3</v>
      </c>
      <c r="T35" s="92">
        <v>3</v>
      </c>
      <c r="V35" s="87" t="s">
        <v>313</v>
      </c>
      <c r="W35" s="82">
        <v>3</v>
      </c>
      <c r="X35" s="92">
        <v>3</v>
      </c>
    </row>
    <row r="36" spans="1:24" ht="15.75" customHeight="1" x14ac:dyDescent="0.15">
      <c r="A36" s="11" t="s">
        <v>55</v>
      </c>
      <c r="B36" s="11">
        <v>8</v>
      </c>
      <c r="C36" s="11" t="s">
        <v>69</v>
      </c>
      <c r="D36" s="11" t="s">
        <v>70</v>
      </c>
      <c r="E36" s="11" t="s">
        <v>136</v>
      </c>
      <c r="F36" s="11" t="s">
        <v>185</v>
      </c>
      <c r="G36" s="11" t="s">
        <v>14</v>
      </c>
      <c r="H36" s="8">
        <v>2</v>
      </c>
      <c r="J36" s="111" t="str">
        <f t="shared" si="4"/>
        <v>Teknik Pemodelan dan Simulasi</v>
      </c>
      <c r="K36" s="112">
        <f t="shared" si="7"/>
        <v>2</v>
      </c>
      <c r="L36" s="112">
        <v>4</v>
      </c>
      <c r="N36" s="88" t="str">
        <f>E36</f>
        <v>Teknik Pemodelan dan Simulasi</v>
      </c>
      <c r="O36" s="82">
        <v>3</v>
      </c>
      <c r="P36" s="50">
        <v>4</v>
      </c>
      <c r="R36" s="88" t="str">
        <f>N36</f>
        <v>Teknik Pemodelan dan Simulasi</v>
      </c>
      <c r="S36" s="82">
        <v>3</v>
      </c>
      <c r="T36" s="92">
        <v>4</v>
      </c>
      <c r="V36" s="88" t="str">
        <f>R36</f>
        <v>Teknik Pemodelan dan Simulasi</v>
      </c>
      <c r="W36" s="82">
        <v>3</v>
      </c>
      <c r="X36" s="92">
        <v>4</v>
      </c>
    </row>
    <row r="37" spans="1:24" ht="15.75" customHeight="1" x14ac:dyDescent="0.15">
      <c r="A37" s="10" t="s">
        <v>71</v>
      </c>
      <c r="B37" s="10">
        <v>1</v>
      </c>
      <c r="C37" s="10" t="s">
        <v>22</v>
      </c>
      <c r="D37" s="10" t="s">
        <v>72</v>
      </c>
      <c r="E37" s="10" t="s">
        <v>137</v>
      </c>
      <c r="F37" s="10" t="s">
        <v>137</v>
      </c>
      <c r="G37" s="10" t="s">
        <v>24</v>
      </c>
      <c r="H37" s="7">
        <v>2</v>
      </c>
      <c r="J37" s="111" t="str">
        <f t="shared" si="4"/>
        <v>Bahasa Indonesia</v>
      </c>
      <c r="K37" s="112">
        <f t="shared" si="7"/>
        <v>2</v>
      </c>
      <c r="L37" s="112">
        <v>5</v>
      </c>
      <c r="N37" s="98" t="str">
        <f>E37</f>
        <v>Bahasa Indonesia</v>
      </c>
      <c r="O37" s="99">
        <v>2</v>
      </c>
      <c r="P37" s="65"/>
      <c r="R37" s="49" t="s">
        <v>342</v>
      </c>
      <c r="S37" s="92">
        <v>2</v>
      </c>
      <c r="T37" s="92">
        <v>6</v>
      </c>
      <c r="V37" s="49" t="s">
        <v>342</v>
      </c>
      <c r="W37" s="92">
        <v>2</v>
      </c>
      <c r="X37" s="92">
        <v>6</v>
      </c>
    </row>
    <row r="38" spans="1:24" ht="15.75" customHeight="1" x14ac:dyDescent="0.15">
      <c r="A38" s="10" t="s">
        <v>71</v>
      </c>
      <c r="B38" s="10">
        <v>2</v>
      </c>
      <c r="C38" s="10" t="s">
        <v>73</v>
      </c>
      <c r="D38" s="10" t="s">
        <v>74</v>
      </c>
      <c r="E38" s="10" t="s">
        <v>138</v>
      </c>
      <c r="F38" s="10" t="s">
        <v>186</v>
      </c>
      <c r="G38" s="10" t="s">
        <v>14</v>
      </c>
      <c r="H38" s="7">
        <v>3</v>
      </c>
      <c r="J38" s="111" t="str">
        <f t="shared" si="4"/>
        <v>Desain Sistem</v>
      </c>
      <c r="K38" s="112">
        <f t="shared" si="7"/>
        <v>3</v>
      </c>
      <c r="L38" s="112">
        <v>5</v>
      </c>
      <c r="N38" s="115" t="s">
        <v>138</v>
      </c>
      <c r="O38" s="112">
        <v>3</v>
      </c>
      <c r="P38" s="111">
        <v>4</v>
      </c>
      <c r="R38" s="87" t="str">
        <f>V38</f>
        <v>Medan Elektromagnetik</v>
      </c>
      <c r="S38" s="82">
        <v>3</v>
      </c>
      <c r="T38" s="92">
        <v>4</v>
      </c>
      <c r="V38" s="87" t="s">
        <v>317</v>
      </c>
      <c r="W38" s="82">
        <v>3</v>
      </c>
      <c r="X38" s="92">
        <v>4</v>
      </c>
    </row>
    <row r="39" spans="1:24" ht="15.75" customHeight="1" x14ac:dyDescent="0.15">
      <c r="A39" s="10" t="s">
        <v>71</v>
      </c>
      <c r="B39" s="10">
        <v>3</v>
      </c>
      <c r="C39" s="10" t="s">
        <v>75</v>
      </c>
      <c r="D39" s="10" t="s">
        <v>76</v>
      </c>
      <c r="E39" s="10" t="s">
        <v>139</v>
      </c>
      <c r="F39" s="10" t="s">
        <v>187</v>
      </c>
      <c r="G39" s="10" t="s">
        <v>14</v>
      </c>
      <c r="H39" s="7">
        <v>3</v>
      </c>
      <c r="J39" s="111" t="str">
        <f t="shared" si="4"/>
        <v>Keamanan Siber</v>
      </c>
      <c r="K39" s="112">
        <f t="shared" si="7"/>
        <v>3</v>
      </c>
      <c r="L39" s="112">
        <v>5</v>
      </c>
      <c r="N39" s="121" t="str">
        <f t="shared" ref="N39:N44" si="9">E39</f>
        <v>Keamanan Siber</v>
      </c>
      <c r="O39" s="112">
        <f>H39</f>
        <v>3</v>
      </c>
      <c r="P39" s="111">
        <v>5</v>
      </c>
      <c r="R39" s="50" t="str">
        <f>E39</f>
        <v>Keamanan Siber</v>
      </c>
      <c r="S39" s="92">
        <v>3</v>
      </c>
      <c r="T39" s="92">
        <v>6</v>
      </c>
      <c r="V39" s="50" t="str">
        <f t="shared" ref="V39:V42" si="10">E39</f>
        <v>Keamanan Siber</v>
      </c>
      <c r="W39" s="92">
        <v>3</v>
      </c>
      <c r="X39" s="92">
        <v>6</v>
      </c>
    </row>
    <row r="40" spans="1:24" ht="15.75" customHeight="1" x14ac:dyDescent="0.15">
      <c r="A40" s="10" t="s">
        <v>71</v>
      </c>
      <c r="B40" s="10">
        <v>4</v>
      </c>
      <c r="C40" s="10" t="s">
        <v>77</v>
      </c>
      <c r="D40" s="10" t="s">
        <v>78</v>
      </c>
      <c r="E40" s="10" t="s">
        <v>140</v>
      </c>
      <c r="F40" s="10" t="s">
        <v>188</v>
      </c>
      <c r="G40" s="10" t="s">
        <v>14</v>
      </c>
      <c r="H40" s="7">
        <v>2</v>
      </c>
      <c r="J40" s="111" t="str">
        <f t="shared" si="4"/>
        <v>Kerja Praktik / Magang Industri</v>
      </c>
      <c r="K40" s="112">
        <f t="shared" si="7"/>
        <v>2</v>
      </c>
      <c r="L40" s="112">
        <v>5</v>
      </c>
      <c r="N40" s="90" t="str">
        <f t="shared" si="9"/>
        <v>Kerja Praktik / Magang Industri</v>
      </c>
      <c r="O40" s="83">
        <f t="shared" ref="O40:O43" si="11">H40</f>
        <v>2</v>
      </c>
      <c r="P40" s="76">
        <v>5</v>
      </c>
      <c r="R40" s="49" t="s">
        <v>327</v>
      </c>
      <c r="S40" s="92">
        <v>2</v>
      </c>
      <c r="T40" s="92">
        <v>5</v>
      </c>
      <c r="V40" s="49" t="s">
        <v>327</v>
      </c>
      <c r="W40" s="92">
        <v>2</v>
      </c>
      <c r="X40" s="92">
        <v>5</v>
      </c>
    </row>
    <row r="41" spans="1:24" ht="15.75" customHeight="1" x14ac:dyDescent="0.15">
      <c r="A41" s="10" t="s">
        <v>71</v>
      </c>
      <c r="B41" s="10">
        <v>5</v>
      </c>
      <c r="C41" s="10" t="s">
        <v>22</v>
      </c>
      <c r="D41" s="10" t="s">
        <v>79</v>
      </c>
      <c r="E41" s="10" t="s">
        <v>141</v>
      </c>
      <c r="F41" s="10" t="s">
        <v>189</v>
      </c>
      <c r="G41" s="10" t="s">
        <v>24</v>
      </c>
      <c r="H41" s="7">
        <v>2</v>
      </c>
      <c r="J41" s="111" t="str">
        <f t="shared" si="4"/>
        <v>Kewarganegaraan</v>
      </c>
      <c r="K41" s="112">
        <f t="shared" si="7"/>
        <v>2</v>
      </c>
      <c r="L41" s="112">
        <v>5</v>
      </c>
      <c r="N41" s="121" t="str">
        <f t="shared" si="9"/>
        <v>Kewarganegaraan</v>
      </c>
      <c r="O41" s="112">
        <f t="shared" si="11"/>
        <v>2</v>
      </c>
      <c r="P41" s="111">
        <v>5</v>
      </c>
      <c r="R41" s="50" t="str">
        <f>E41</f>
        <v>Kewarganegaraan</v>
      </c>
      <c r="S41" s="92">
        <v>2</v>
      </c>
      <c r="T41" s="92">
        <v>6</v>
      </c>
      <c r="V41" s="50" t="str">
        <f t="shared" si="10"/>
        <v>Kewarganegaraan</v>
      </c>
      <c r="W41" s="92">
        <v>2</v>
      </c>
      <c r="X41" s="92">
        <v>6</v>
      </c>
    </row>
    <row r="42" spans="1:24" ht="15.75" customHeight="1" x14ac:dyDescent="0.15">
      <c r="A42" s="10" t="s">
        <v>71</v>
      </c>
      <c r="B42" s="10">
        <v>6</v>
      </c>
      <c r="C42" s="10" t="s">
        <v>22</v>
      </c>
      <c r="D42" s="10" t="s">
        <v>80</v>
      </c>
      <c r="E42" s="10" t="s">
        <v>142</v>
      </c>
      <c r="F42" s="10" t="s">
        <v>142</v>
      </c>
      <c r="G42" s="10" t="s">
        <v>24</v>
      </c>
      <c r="H42" s="7">
        <v>2</v>
      </c>
      <c r="J42" s="111" t="str">
        <f t="shared" si="4"/>
        <v>Pancasila</v>
      </c>
      <c r="K42" s="112">
        <f t="shared" si="7"/>
        <v>2</v>
      </c>
      <c r="L42" s="112">
        <v>5</v>
      </c>
      <c r="N42" s="98" t="str">
        <f t="shared" si="9"/>
        <v>Pancasila</v>
      </c>
      <c r="O42" s="99">
        <f t="shared" si="11"/>
        <v>2</v>
      </c>
      <c r="P42" s="65">
        <v>5</v>
      </c>
      <c r="R42" s="50" t="str">
        <f>E42</f>
        <v>Pancasila</v>
      </c>
      <c r="S42" s="92">
        <v>2</v>
      </c>
      <c r="T42" s="92">
        <v>6</v>
      </c>
      <c r="V42" s="50" t="str">
        <f t="shared" si="10"/>
        <v>Pancasila</v>
      </c>
      <c r="W42" s="92">
        <v>2</v>
      </c>
      <c r="X42" s="92">
        <v>6</v>
      </c>
    </row>
    <row r="43" spans="1:24" ht="15.75" customHeight="1" x14ac:dyDescent="0.15">
      <c r="A43" s="10" t="s">
        <v>71</v>
      </c>
      <c r="B43" s="10">
        <v>7</v>
      </c>
      <c r="C43" s="10" t="s">
        <v>81</v>
      </c>
      <c r="D43" s="10" t="s">
        <v>82</v>
      </c>
      <c r="E43" s="10" t="s">
        <v>143</v>
      </c>
      <c r="F43" s="10" t="s">
        <v>190</v>
      </c>
      <c r="G43" s="10" t="s">
        <v>14</v>
      </c>
      <c r="H43" s="7">
        <v>3</v>
      </c>
      <c r="J43" s="111" t="str">
        <f t="shared" si="4"/>
        <v>Proyek Senior Teknologi Informasi</v>
      </c>
      <c r="K43" s="112">
        <f t="shared" si="7"/>
        <v>3</v>
      </c>
      <c r="L43" s="112">
        <v>5</v>
      </c>
      <c r="N43" s="90" t="str">
        <f t="shared" si="9"/>
        <v>Proyek Senior Teknologi Informasi</v>
      </c>
      <c r="O43" s="83">
        <f t="shared" si="11"/>
        <v>3</v>
      </c>
      <c r="P43" s="76">
        <v>5</v>
      </c>
      <c r="R43" s="50" t="str">
        <f>E43</f>
        <v>Proyek Senior Teknologi Informasi</v>
      </c>
      <c r="S43" s="92">
        <v>3</v>
      </c>
      <c r="T43" s="92">
        <v>6</v>
      </c>
      <c r="V43" s="50" t="str">
        <f>E43</f>
        <v>Proyek Senior Teknologi Informasi</v>
      </c>
      <c r="W43" s="92">
        <v>3</v>
      </c>
      <c r="X43" s="92">
        <v>6</v>
      </c>
    </row>
    <row r="44" spans="1:24" ht="15.75" customHeight="1" x14ac:dyDescent="0.15">
      <c r="A44" s="10" t="s">
        <v>71</v>
      </c>
      <c r="B44" s="10">
        <v>8</v>
      </c>
      <c r="C44" s="10" t="s">
        <v>83</v>
      </c>
      <c r="D44" s="10" t="s">
        <v>84</v>
      </c>
      <c r="E44" s="10" t="s">
        <v>144</v>
      </c>
      <c r="F44" s="10" t="s">
        <v>191</v>
      </c>
      <c r="G44" s="10" t="s">
        <v>14</v>
      </c>
      <c r="H44" s="7">
        <v>3</v>
      </c>
      <c r="J44" s="111" t="str">
        <f t="shared" si="4"/>
        <v>Teknik Visualisasi Grafis</v>
      </c>
      <c r="K44" s="112">
        <f t="shared" si="7"/>
        <v>3</v>
      </c>
      <c r="L44" s="112">
        <v>5</v>
      </c>
      <c r="N44" s="88" t="str">
        <f t="shared" si="9"/>
        <v>Teknik Visualisasi Grafis</v>
      </c>
      <c r="O44" s="82">
        <v>3</v>
      </c>
      <c r="P44" s="50">
        <v>4</v>
      </c>
      <c r="Q44">
        <f>O9+SUM(O28:O29)+SUM(O31:O34)+O43+O40</f>
        <v>22</v>
      </c>
      <c r="R44" s="88" t="str">
        <f>N44</f>
        <v>Teknik Visualisasi Grafis</v>
      </c>
      <c r="S44" s="82">
        <v>3</v>
      </c>
      <c r="T44" s="92">
        <v>4</v>
      </c>
      <c r="V44" s="88" t="str">
        <f>R44</f>
        <v>Teknik Visualisasi Grafis</v>
      </c>
      <c r="W44" s="82">
        <v>3</v>
      </c>
      <c r="X44" s="92">
        <v>4</v>
      </c>
    </row>
    <row r="45" spans="1:24" ht="15.75" customHeight="1" x14ac:dyDescent="0.15">
      <c r="A45" s="11" t="s">
        <v>85</v>
      </c>
      <c r="B45" s="11">
        <v>1</v>
      </c>
      <c r="C45" s="12"/>
      <c r="D45" s="11" t="s">
        <v>86</v>
      </c>
      <c r="E45" s="11" t="s">
        <v>145</v>
      </c>
      <c r="F45" s="11" t="s">
        <v>192</v>
      </c>
      <c r="G45" s="11" t="s">
        <v>14</v>
      </c>
      <c r="H45" s="8">
        <v>20</v>
      </c>
      <c r="J45" s="111" t="str">
        <f t="shared" si="4"/>
        <v>Mata Kuliah Pilihan</v>
      </c>
      <c r="K45" s="112">
        <v>10</v>
      </c>
      <c r="L45" s="112">
        <v>6</v>
      </c>
      <c r="N45" s="111" t="str">
        <f>J45</f>
        <v>Mata Kuliah Pilihan</v>
      </c>
      <c r="O45" s="112">
        <v>10</v>
      </c>
      <c r="P45" s="112">
        <v>6</v>
      </c>
      <c r="R45" s="111" t="str">
        <f>N45</f>
        <v>Mata Kuliah Pilihan</v>
      </c>
      <c r="S45" s="112">
        <v>8</v>
      </c>
      <c r="T45" s="112">
        <v>6</v>
      </c>
      <c r="V45" s="94" t="s">
        <v>391</v>
      </c>
      <c r="W45" s="95">
        <v>15</v>
      </c>
      <c r="X45" s="93">
        <v>7</v>
      </c>
    </row>
    <row r="46" spans="1:24" ht="15.75" customHeight="1" x14ac:dyDescent="0.15">
      <c r="A46" s="10" t="s">
        <v>87</v>
      </c>
      <c r="B46" s="10">
        <v>1</v>
      </c>
      <c r="C46" s="10" t="s">
        <v>22</v>
      </c>
      <c r="D46" s="10" t="s">
        <v>88</v>
      </c>
      <c r="E46" s="10" t="s">
        <v>146</v>
      </c>
      <c r="F46" s="10" t="s">
        <v>193</v>
      </c>
      <c r="G46" s="10" t="s">
        <v>24</v>
      </c>
      <c r="H46" s="7">
        <v>2</v>
      </c>
      <c r="J46" s="111" t="str">
        <f t="shared" si="4"/>
        <v>Humaniora Digital</v>
      </c>
      <c r="K46" s="112">
        <f t="shared" si="7"/>
        <v>2</v>
      </c>
      <c r="L46" s="112">
        <v>7</v>
      </c>
      <c r="N46" s="111" t="str">
        <f>J46</f>
        <v>Humaniora Digital</v>
      </c>
      <c r="O46" s="112">
        <f>K46</f>
        <v>2</v>
      </c>
      <c r="P46" s="112">
        <v>7</v>
      </c>
      <c r="R46" s="117" t="str">
        <f>E46</f>
        <v>Humaniora Digital</v>
      </c>
      <c r="S46" s="96">
        <v>2</v>
      </c>
      <c r="T46" s="96">
        <v>1</v>
      </c>
      <c r="V46" s="86" t="s">
        <v>295</v>
      </c>
      <c r="W46" s="92">
        <v>2</v>
      </c>
      <c r="X46" s="92">
        <v>1</v>
      </c>
    </row>
    <row r="47" spans="1:24" ht="15.75" customHeight="1" x14ac:dyDescent="0.15">
      <c r="A47" s="10" t="s">
        <v>87</v>
      </c>
      <c r="B47" s="10">
        <v>2</v>
      </c>
      <c r="C47" s="10" t="s">
        <v>89</v>
      </c>
      <c r="D47" s="10" t="s">
        <v>90</v>
      </c>
      <c r="E47" s="10" t="s">
        <v>147</v>
      </c>
      <c r="F47" s="10" t="s">
        <v>194</v>
      </c>
      <c r="G47" s="10" t="s">
        <v>14</v>
      </c>
      <c r="H47" s="7">
        <v>3</v>
      </c>
      <c r="J47" s="111" t="str">
        <f t="shared" si="4"/>
        <v>Interaksi Manusia dan Komputer</v>
      </c>
      <c r="K47" s="112">
        <f t="shared" si="7"/>
        <v>3</v>
      </c>
      <c r="L47" s="112">
        <v>7</v>
      </c>
      <c r="N47" s="111" t="str">
        <f t="shared" ref="N47:N55" si="12">J47</f>
        <v>Interaksi Manusia dan Komputer</v>
      </c>
      <c r="O47" s="112">
        <f t="shared" ref="O47:O55" si="13">K47</f>
        <v>3</v>
      </c>
      <c r="P47" s="112">
        <v>7</v>
      </c>
      <c r="R47" s="50" t="str">
        <f>E47</f>
        <v>Interaksi Manusia dan Komputer</v>
      </c>
      <c r="S47" s="92">
        <v>3</v>
      </c>
      <c r="T47" s="92">
        <v>5</v>
      </c>
      <c r="V47" s="50" t="str">
        <f>E47</f>
        <v>Interaksi Manusia dan Komputer</v>
      </c>
      <c r="W47" s="92">
        <v>3</v>
      </c>
      <c r="X47" s="92">
        <v>5</v>
      </c>
    </row>
    <row r="48" spans="1:24" ht="15.75" customHeight="1" x14ac:dyDescent="0.15">
      <c r="A48" s="10" t="s">
        <v>87</v>
      </c>
      <c r="B48" s="10">
        <v>3</v>
      </c>
      <c r="C48" s="10" t="s">
        <v>91</v>
      </c>
      <c r="D48" s="10" t="s">
        <v>92</v>
      </c>
      <c r="E48" s="10" t="s">
        <v>148</v>
      </c>
      <c r="F48" s="10" t="s">
        <v>195</v>
      </c>
      <c r="G48" s="10" t="s">
        <v>14</v>
      </c>
      <c r="H48" s="7">
        <v>2</v>
      </c>
      <c r="J48" s="111" t="str">
        <f t="shared" si="4"/>
        <v>Kewirausahaan Teknologi</v>
      </c>
      <c r="K48" s="112">
        <f t="shared" si="7"/>
        <v>2</v>
      </c>
      <c r="L48" s="112">
        <v>7</v>
      </c>
      <c r="N48" s="111" t="str">
        <f t="shared" si="12"/>
        <v>Kewirausahaan Teknologi</v>
      </c>
      <c r="O48" s="112">
        <f t="shared" si="13"/>
        <v>2</v>
      </c>
      <c r="P48" s="112">
        <v>7</v>
      </c>
      <c r="R48" s="69" t="str">
        <f>E48</f>
        <v>Kewirausahaan Teknologi</v>
      </c>
      <c r="S48" s="96">
        <v>2</v>
      </c>
      <c r="T48" s="96">
        <v>7</v>
      </c>
      <c r="V48" s="50" t="str">
        <f>E48</f>
        <v>Kewirausahaan Teknologi</v>
      </c>
      <c r="W48" s="92">
        <v>2</v>
      </c>
      <c r="X48" s="92">
        <v>7</v>
      </c>
    </row>
    <row r="49" spans="1:24" ht="15.75" customHeight="1" x14ac:dyDescent="0.15">
      <c r="A49" s="10" t="s">
        <v>87</v>
      </c>
      <c r="B49" s="10">
        <v>4</v>
      </c>
      <c r="C49" s="10" t="s">
        <v>22</v>
      </c>
      <c r="D49" s="10" t="s">
        <v>93</v>
      </c>
      <c r="E49" s="10" t="s">
        <v>149</v>
      </c>
      <c r="F49" s="10" t="s">
        <v>196</v>
      </c>
      <c r="G49" s="10" t="s">
        <v>24</v>
      </c>
      <c r="H49" s="7">
        <v>2</v>
      </c>
      <c r="J49" s="111" t="str">
        <f t="shared" si="4"/>
        <v>Komunikasi Masyarakat</v>
      </c>
      <c r="K49" s="112">
        <f t="shared" si="7"/>
        <v>2</v>
      </c>
      <c r="L49" s="112">
        <v>7</v>
      </c>
      <c r="N49" s="111" t="str">
        <f t="shared" si="12"/>
        <v>Komunikasi Masyarakat</v>
      </c>
      <c r="O49" s="112">
        <f t="shared" si="13"/>
        <v>2</v>
      </c>
      <c r="P49" s="112">
        <v>7</v>
      </c>
      <c r="R49" s="69" t="str">
        <f>E49</f>
        <v>Komunikasi Masyarakat</v>
      </c>
      <c r="S49" s="96">
        <f>2</f>
        <v>2</v>
      </c>
      <c r="T49" s="96">
        <v>7</v>
      </c>
      <c r="V49" s="50" t="str">
        <f>E49</f>
        <v>Komunikasi Masyarakat</v>
      </c>
      <c r="W49" s="92">
        <v>2</v>
      </c>
      <c r="X49" s="92">
        <v>7</v>
      </c>
    </row>
    <row r="50" spans="1:24" ht="15.75" customHeight="1" x14ac:dyDescent="0.15">
      <c r="A50" s="10" t="s">
        <v>87</v>
      </c>
      <c r="B50" s="10">
        <v>5</v>
      </c>
      <c r="C50" s="10" t="s">
        <v>22</v>
      </c>
      <c r="D50" s="10" t="s">
        <v>94</v>
      </c>
      <c r="E50" s="10" t="s">
        <v>150</v>
      </c>
      <c r="F50" s="10" t="s">
        <v>197</v>
      </c>
      <c r="G50" s="10" t="s">
        <v>24</v>
      </c>
      <c r="H50" s="7">
        <v>4</v>
      </c>
      <c r="J50" s="111" t="str">
        <f t="shared" si="4"/>
        <v>Kuliah Kerja Nyata</v>
      </c>
      <c r="K50" s="112">
        <f t="shared" si="7"/>
        <v>4</v>
      </c>
      <c r="L50" s="112">
        <v>7</v>
      </c>
      <c r="N50" s="111" t="str">
        <f t="shared" si="12"/>
        <v>Kuliah Kerja Nyata</v>
      </c>
      <c r="O50" s="112">
        <f t="shared" si="13"/>
        <v>4</v>
      </c>
      <c r="P50" s="112">
        <v>7</v>
      </c>
      <c r="R50" s="69" t="str">
        <f t="shared" ref="R50:R51" si="14">E50</f>
        <v>Kuliah Kerja Nyata</v>
      </c>
      <c r="S50" s="96">
        <v>4</v>
      </c>
      <c r="T50" s="96">
        <v>7</v>
      </c>
      <c r="V50" s="50" t="str">
        <f>E50</f>
        <v>Kuliah Kerja Nyata</v>
      </c>
      <c r="W50" s="92">
        <v>4</v>
      </c>
      <c r="X50" s="92">
        <v>7</v>
      </c>
    </row>
    <row r="51" spans="1:24" ht="15.75" customHeight="1" x14ac:dyDescent="0.15">
      <c r="A51" s="10" t="s">
        <v>87</v>
      </c>
      <c r="B51" s="10">
        <v>6</v>
      </c>
      <c r="C51" s="10" t="s">
        <v>22</v>
      </c>
      <c r="D51" s="10" t="s">
        <v>95</v>
      </c>
      <c r="E51" s="10" t="s">
        <v>151</v>
      </c>
      <c r="F51" s="10" t="s">
        <v>198</v>
      </c>
      <c r="G51" s="10" t="s">
        <v>24</v>
      </c>
      <c r="H51" s="7">
        <v>2</v>
      </c>
      <c r="J51" s="111" t="str">
        <f t="shared" si="4"/>
        <v>Penerapan Teknologi Tepat Guna</v>
      </c>
      <c r="K51" s="112">
        <f t="shared" si="7"/>
        <v>2</v>
      </c>
      <c r="L51" s="112">
        <v>7</v>
      </c>
      <c r="N51" s="111" t="str">
        <f t="shared" si="12"/>
        <v>Penerapan Teknologi Tepat Guna</v>
      </c>
      <c r="O51" s="112">
        <f t="shared" si="13"/>
        <v>2</v>
      </c>
      <c r="P51" s="112">
        <v>7</v>
      </c>
      <c r="R51" s="69" t="str">
        <f t="shared" si="14"/>
        <v>Penerapan Teknologi Tepat Guna</v>
      </c>
      <c r="S51" s="96">
        <v>2</v>
      </c>
      <c r="T51" s="96">
        <v>7</v>
      </c>
      <c r="V51" s="50" t="str">
        <f>E51</f>
        <v>Penerapan Teknologi Tepat Guna</v>
      </c>
      <c r="W51" s="92">
        <v>2</v>
      </c>
      <c r="X51" s="92">
        <v>7</v>
      </c>
    </row>
    <row r="52" spans="1:24" ht="15.75" customHeight="1" x14ac:dyDescent="0.15">
      <c r="A52" s="10" t="s">
        <v>87</v>
      </c>
      <c r="B52" s="10">
        <v>7</v>
      </c>
      <c r="C52" s="10" t="s">
        <v>96</v>
      </c>
      <c r="D52" s="10" t="s">
        <v>97</v>
      </c>
      <c r="E52" s="10" t="s">
        <v>152</v>
      </c>
      <c r="F52" s="10" t="s">
        <v>199</v>
      </c>
      <c r="G52" s="10" t="s">
        <v>14</v>
      </c>
      <c r="H52" s="7">
        <v>3</v>
      </c>
      <c r="J52" s="111" t="str">
        <f t="shared" si="4"/>
        <v>Proyek Individual</v>
      </c>
      <c r="K52" s="112">
        <f t="shared" si="7"/>
        <v>3</v>
      </c>
      <c r="L52" s="112">
        <v>7</v>
      </c>
      <c r="N52" s="111" t="str">
        <f t="shared" si="12"/>
        <v>Proyek Individual</v>
      </c>
      <c r="O52" s="112">
        <f t="shared" si="13"/>
        <v>3</v>
      </c>
      <c r="P52" s="112">
        <v>7</v>
      </c>
      <c r="R52" s="69" t="str">
        <f>E52</f>
        <v>Proyek Individual</v>
      </c>
      <c r="S52" s="96">
        <v>3</v>
      </c>
      <c r="T52" s="96">
        <v>7</v>
      </c>
      <c r="V52" s="49" t="s">
        <v>354</v>
      </c>
      <c r="W52" s="92">
        <v>4</v>
      </c>
      <c r="X52" s="92">
        <v>7</v>
      </c>
    </row>
    <row r="53" spans="1:24" ht="15.75" customHeight="1" x14ac:dyDescent="0.15">
      <c r="A53" s="10" t="s">
        <v>87</v>
      </c>
      <c r="B53" s="10">
        <v>8</v>
      </c>
      <c r="C53" s="10" t="s">
        <v>98</v>
      </c>
      <c r="D53" s="10" t="s">
        <v>99</v>
      </c>
      <c r="E53" s="10" t="s">
        <v>153</v>
      </c>
      <c r="F53" s="10" t="s">
        <v>200</v>
      </c>
      <c r="G53" s="10" t="s">
        <v>14</v>
      </c>
      <c r="H53" s="7">
        <v>2</v>
      </c>
      <c r="J53" s="111" t="str">
        <f t="shared" si="4"/>
        <v>Proyek Perancangan Teknologi Informasi 1</v>
      </c>
      <c r="K53" s="112">
        <f t="shared" si="7"/>
        <v>2</v>
      </c>
      <c r="L53" s="112">
        <v>7</v>
      </c>
      <c r="N53" s="111" t="str">
        <f t="shared" si="12"/>
        <v>Proyek Perancangan Teknologi Informasi 1</v>
      </c>
      <c r="O53" s="112">
        <f t="shared" si="13"/>
        <v>2</v>
      </c>
      <c r="P53" s="112">
        <v>7</v>
      </c>
      <c r="R53" s="50" t="str">
        <f>E53</f>
        <v>Proyek Perancangan Teknologi Informasi 1</v>
      </c>
      <c r="S53" s="92">
        <v>2</v>
      </c>
      <c r="T53" s="92">
        <v>6</v>
      </c>
      <c r="V53" s="50" t="str">
        <f>E53</f>
        <v>Proyek Perancangan Teknologi Informasi 1</v>
      </c>
      <c r="W53" s="92">
        <v>2</v>
      </c>
      <c r="X53" s="92">
        <v>6</v>
      </c>
    </row>
    <row r="54" spans="1:24" ht="15.75" customHeight="1" x14ac:dyDescent="0.15">
      <c r="A54" s="11" t="s">
        <v>100</v>
      </c>
      <c r="B54" s="11">
        <v>1</v>
      </c>
      <c r="C54" s="11" t="s">
        <v>101</v>
      </c>
      <c r="D54" s="11" t="s">
        <v>102</v>
      </c>
      <c r="E54" s="11" t="s">
        <v>154</v>
      </c>
      <c r="F54" s="11" t="s">
        <v>201</v>
      </c>
      <c r="G54" s="11" t="s">
        <v>14</v>
      </c>
      <c r="H54" s="8">
        <v>2</v>
      </c>
      <c r="J54" s="111" t="str">
        <f t="shared" si="4"/>
        <v>Proyek Perancangan Teknologi Informasi 2</v>
      </c>
      <c r="K54" s="112">
        <f t="shared" si="7"/>
        <v>2</v>
      </c>
      <c r="L54" s="112">
        <v>8</v>
      </c>
      <c r="N54" s="111" t="str">
        <f t="shared" si="12"/>
        <v>Proyek Perancangan Teknologi Informasi 2</v>
      </c>
      <c r="O54" s="112">
        <f t="shared" si="13"/>
        <v>2</v>
      </c>
      <c r="P54" s="112">
        <v>8</v>
      </c>
      <c r="R54" s="69" t="str">
        <f>E54</f>
        <v>Proyek Perancangan Teknologi Informasi 2</v>
      </c>
      <c r="S54" s="96">
        <v>2</v>
      </c>
      <c r="T54" s="96">
        <v>7</v>
      </c>
      <c r="V54" s="49" t="str">
        <f>E54</f>
        <v>Proyek Perancangan Teknologi Informasi 2</v>
      </c>
      <c r="W54" s="92">
        <v>2</v>
      </c>
      <c r="X54" s="92">
        <v>7</v>
      </c>
    </row>
    <row r="55" spans="1:24" ht="13" x14ac:dyDescent="0.15">
      <c r="A55" s="11" t="s">
        <v>100</v>
      </c>
      <c r="B55" s="11">
        <v>2</v>
      </c>
      <c r="C55" s="11" t="s">
        <v>103</v>
      </c>
      <c r="D55" s="11" t="s">
        <v>104</v>
      </c>
      <c r="E55" s="11" t="s">
        <v>155</v>
      </c>
      <c r="F55" s="11" t="s">
        <v>155</v>
      </c>
      <c r="G55" s="11" t="s">
        <v>14</v>
      </c>
      <c r="H55" s="8">
        <v>2</v>
      </c>
      <c r="J55" s="111" t="str">
        <f t="shared" si="4"/>
        <v>Studium Generale</v>
      </c>
      <c r="K55" s="112">
        <f t="shared" si="7"/>
        <v>2</v>
      </c>
      <c r="L55" s="112">
        <v>8</v>
      </c>
      <c r="N55" s="111" t="str">
        <f t="shared" si="12"/>
        <v>Studium Generale</v>
      </c>
      <c r="O55" s="112">
        <f t="shared" si="13"/>
        <v>2</v>
      </c>
      <c r="P55" s="112">
        <v>8</v>
      </c>
      <c r="R55" s="69" t="str">
        <f>F55</f>
        <v>Studium Generale</v>
      </c>
      <c r="S55" s="96">
        <v>2</v>
      </c>
      <c r="T55" s="96">
        <v>7</v>
      </c>
      <c r="U55">
        <f>SUM(S54:S55)+SUM(S48:S52)+S46+S9</f>
        <v>21</v>
      </c>
      <c r="V55" s="49" t="str">
        <f>E55</f>
        <v>Studium Generale</v>
      </c>
      <c r="W55" s="92">
        <v>2</v>
      </c>
      <c r="X55" s="92">
        <v>8</v>
      </c>
    </row>
    <row r="56" spans="1:24" ht="15.75" customHeight="1" x14ac:dyDescent="0.15">
      <c r="H56" s="9">
        <f>SUM(H5:H55)</f>
        <v>144</v>
      </c>
      <c r="J56" s="1" t="s">
        <v>400</v>
      </c>
      <c r="K56" s="9">
        <f>SUM(K5:K8)+SUM(K10:K12)+K14+K19+SUM(K16:K17)</f>
        <v>27</v>
      </c>
      <c r="L56" s="113" t="s">
        <v>401</v>
      </c>
      <c r="N56" s="84" t="s">
        <v>400</v>
      </c>
      <c r="O56">
        <f>SUM(O5:O8)+SUM(O10:O12)+SUM(O14:O27)+SUM(O35:O36)+O44</f>
        <v>62</v>
      </c>
      <c r="R56" s="1" t="s">
        <v>400</v>
      </c>
      <c r="S56" s="6">
        <f>SUM(S5:S8)+SUM(S10:S29)+SUM(S31:S44)+S47+S53</f>
        <v>102</v>
      </c>
      <c r="W56" s="6">
        <f>SUM(W5:W55)-W30</f>
        <v>139</v>
      </c>
      <c r="X56" s="6"/>
    </row>
    <row r="57" spans="1:24" ht="9" customHeight="1" x14ac:dyDescent="0.15">
      <c r="J57" s="1"/>
      <c r="K57" s="9"/>
      <c r="L57" s="113"/>
      <c r="O57"/>
      <c r="W57" s="6"/>
      <c r="X57" s="6"/>
    </row>
    <row r="58" spans="1:24" ht="15.75" customHeight="1" x14ac:dyDescent="0.15">
      <c r="H58" s="9">
        <f>H5+H6+H8+H10+H12+H16+H18+H26+H27</f>
        <v>23</v>
      </c>
      <c r="J58" s="78" t="s">
        <v>288</v>
      </c>
      <c r="K58" s="114">
        <v>2</v>
      </c>
      <c r="L58" s="114">
        <v>1</v>
      </c>
      <c r="N58" s="91" t="s">
        <v>288</v>
      </c>
      <c r="O58" s="79">
        <v>2</v>
      </c>
      <c r="P58" s="79">
        <v>1</v>
      </c>
      <c r="R58" s="123" t="s">
        <v>288</v>
      </c>
      <c r="S58" s="114">
        <v>2</v>
      </c>
      <c r="T58" s="114">
        <v>1</v>
      </c>
      <c r="V58" s="91" t="s">
        <v>288</v>
      </c>
      <c r="W58" s="114">
        <v>2</v>
      </c>
      <c r="X58" s="79">
        <v>1</v>
      </c>
    </row>
    <row r="59" spans="1:24" ht="15.75" customHeight="1" x14ac:dyDescent="0.15">
      <c r="J59" s="78" t="s">
        <v>299</v>
      </c>
      <c r="K59" s="114">
        <v>3</v>
      </c>
      <c r="L59" s="114">
        <v>2</v>
      </c>
      <c r="N59" s="91" t="s">
        <v>299</v>
      </c>
      <c r="O59" s="79">
        <v>3</v>
      </c>
      <c r="P59" s="79">
        <v>2</v>
      </c>
      <c r="R59" s="123" t="s">
        <v>299</v>
      </c>
      <c r="S59" s="114">
        <v>3</v>
      </c>
      <c r="T59" s="114">
        <v>2</v>
      </c>
      <c r="V59" s="91" t="s">
        <v>299</v>
      </c>
      <c r="W59" s="114">
        <v>3</v>
      </c>
      <c r="X59" s="79">
        <v>2</v>
      </c>
    </row>
    <row r="60" spans="1:24" ht="15.75" customHeight="1" x14ac:dyDescent="0.15">
      <c r="J60" s="78" t="s">
        <v>304</v>
      </c>
      <c r="K60" s="114">
        <v>3</v>
      </c>
      <c r="L60" s="114">
        <v>2</v>
      </c>
      <c r="N60" s="91" t="s">
        <v>304</v>
      </c>
      <c r="O60" s="79">
        <v>3</v>
      </c>
      <c r="P60" s="79">
        <v>2</v>
      </c>
      <c r="R60" s="91" t="s">
        <v>304</v>
      </c>
      <c r="S60" s="79">
        <v>3</v>
      </c>
      <c r="T60" s="79">
        <v>2</v>
      </c>
      <c r="V60" s="91" t="s">
        <v>304</v>
      </c>
      <c r="W60" s="79">
        <v>3</v>
      </c>
      <c r="X60" s="79">
        <v>2</v>
      </c>
    </row>
    <row r="61" spans="1:24" ht="15.75" customHeight="1" x14ac:dyDescent="0.15">
      <c r="J61" s="109" t="s">
        <v>295</v>
      </c>
      <c r="K61" s="114">
        <v>2</v>
      </c>
      <c r="L61" s="114">
        <v>1</v>
      </c>
      <c r="N61" s="109" t="s">
        <v>295</v>
      </c>
      <c r="O61" s="114">
        <v>2</v>
      </c>
      <c r="P61" s="114">
        <v>1</v>
      </c>
      <c r="R61" s="124" t="s">
        <v>295</v>
      </c>
      <c r="S61" s="114">
        <v>2</v>
      </c>
      <c r="T61" s="114">
        <v>1</v>
      </c>
      <c r="V61" s="118" t="str">
        <f>R62</f>
        <v>Integrasi Aplikasi dan Informasi</v>
      </c>
      <c r="W61" s="122">
        <v>2</v>
      </c>
      <c r="X61" s="119">
        <v>6</v>
      </c>
    </row>
    <row r="62" spans="1:24" ht="15.75" customHeight="1" x14ac:dyDescent="0.15">
      <c r="J62" s="1"/>
      <c r="K62">
        <f>SUM(K58:K61)</f>
        <v>10</v>
      </c>
      <c r="O62" s="9">
        <f>SUM(O58:O61)</f>
        <v>10</v>
      </c>
      <c r="R62" s="118" t="str">
        <f>E100</f>
        <v>Integrasi Aplikasi dan Informasi</v>
      </c>
      <c r="S62" s="114">
        <v>2</v>
      </c>
      <c r="T62" s="114">
        <v>6</v>
      </c>
    </row>
    <row r="63" spans="1:24" ht="15.75" customHeight="1" x14ac:dyDescent="0.15">
      <c r="J63" s="1"/>
      <c r="R63" s="89"/>
      <c r="S63" s="9">
        <f>SUM(S58:S62)</f>
        <v>12</v>
      </c>
      <c r="T63"/>
      <c r="V63" s="89"/>
      <c r="W63" s="9">
        <f>SUM(W58:W61)</f>
        <v>10</v>
      </c>
    </row>
    <row r="64" spans="1:24" ht="15.75" customHeight="1" x14ac:dyDescent="0.15">
      <c r="R64" s="89"/>
      <c r="S64" s="9"/>
      <c r="T64"/>
    </row>
    <row r="65" spans="10:23" ht="15.75" customHeight="1" x14ac:dyDescent="0.15">
      <c r="J65" s="110" t="s">
        <v>402</v>
      </c>
      <c r="K65" s="108">
        <f>K56+K62</f>
        <v>37</v>
      </c>
      <c r="N65" s="110" t="s">
        <v>402</v>
      </c>
      <c r="O65" s="108">
        <f>O56+O62</f>
        <v>72</v>
      </c>
      <c r="R65" s="110" t="s">
        <v>402</v>
      </c>
      <c r="S65" s="108">
        <f>S56+S63</f>
        <v>114</v>
      </c>
      <c r="T65"/>
      <c r="V65" s="110" t="s">
        <v>402</v>
      </c>
      <c r="W65" s="108">
        <f>W56+W63</f>
        <v>149</v>
      </c>
    </row>
    <row r="66" spans="10:23" ht="15.75" customHeight="1" x14ac:dyDescent="0.15">
      <c r="J66" s="1" t="s">
        <v>403</v>
      </c>
      <c r="K66" s="9">
        <f>SUM(K5:K55)+SUM(K58:K61)</f>
        <v>144</v>
      </c>
      <c r="N66" s="1" t="s">
        <v>403</v>
      </c>
      <c r="O66" s="9">
        <f>SUM(O5:O55)+SUM(O58:O61)</f>
        <v>144</v>
      </c>
      <c r="R66" s="1" t="s">
        <v>403</v>
      </c>
      <c r="S66" s="9">
        <f>SUM(S5:S55)+SUM(S58:S62)</f>
        <v>145</v>
      </c>
      <c r="T66"/>
      <c r="V66" s="1" t="s">
        <v>403</v>
      </c>
      <c r="W66" s="9">
        <f>SUM(W5:W55)+SUM(W58:W61)</f>
        <v>151</v>
      </c>
    </row>
    <row r="67" spans="10:23" ht="28" customHeight="1" x14ac:dyDescent="0.15"/>
    <row r="68" spans="10:23" ht="15.75" customHeight="1" x14ac:dyDescent="0.15">
      <c r="R68" s="1" t="s">
        <v>404</v>
      </c>
      <c r="S68" s="6">
        <f>SUM(S54:S55)+SUM(S48:S52)+S46+S30+S9</f>
        <v>23</v>
      </c>
    </row>
    <row r="99" spans="1:8" ht="15.75" customHeight="1" x14ac:dyDescent="0.15">
      <c r="A99" s="30" t="s">
        <v>228</v>
      </c>
      <c r="B99" s="30" t="s">
        <v>1</v>
      </c>
      <c r="C99" s="30" t="s">
        <v>2</v>
      </c>
      <c r="D99" s="30"/>
      <c r="E99" s="30" t="s">
        <v>3</v>
      </c>
      <c r="F99" s="30" t="s">
        <v>283</v>
      </c>
      <c r="G99" s="30" t="s">
        <v>4</v>
      </c>
      <c r="H99" s="30" t="s">
        <v>5</v>
      </c>
    </row>
    <row r="100" spans="1:8" ht="15.75" customHeight="1" x14ac:dyDescent="0.15">
      <c r="A100" s="15" t="s">
        <v>229</v>
      </c>
      <c r="B100" s="16">
        <v>1</v>
      </c>
      <c r="C100" s="16" t="s">
        <v>230</v>
      </c>
      <c r="D100" s="16" t="s">
        <v>202</v>
      </c>
      <c r="E100" s="16" t="s">
        <v>231</v>
      </c>
      <c r="F100" s="16" t="s">
        <v>232</v>
      </c>
      <c r="G100" s="16" t="s">
        <v>14</v>
      </c>
      <c r="H100" s="17">
        <v>3</v>
      </c>
    </row>
    <row r="101" spans="1:8" ht="15.75" customHeight="1" x14ac:dyDescent="0.15">
      <c r="A101" s="15" t="s">
        <v>229</v>
      </c>
      <c r="B101" s="16">
        <v>2</v>
      </c>
      <c r="C101" s="16" t="s">
        <v>233</v>
      </c>
      <c r="D101" s="16" t="s">
        <v>203</v>
      </c>
      <c r="E101" s="16" t="s">
        <v>234</v>
      </c>
      <c r="F101" s="16" t="s">
        <v>235</v>
      </c>
      <c r="G101" s="16" t="s">
        <v>14</v>
      </c>
      <c r="H101" s="17">
        <v>3</v>
      </c>
    </row>
    <row r="102" spans="1:8" ht="15.75" customHeight="1" x14ac:dyDescent="0.15">
      <c r="A102" s="15" t="s">
        <v>229</v>
      </c>
      <c r="B102" s="16">
        <v>3</v>
      </c>
      <c r="C102" s="16" t="s">
        <v>236</v>
      </c>
      <c r="D102" s="16" t="s">
        <v>204</v>
      </c>
      <c r="E102" s="16" t="s">
        <v>237</v>
      </c>
      <c r="F102" s="16" t="s">
        <v>238</v>
      </c>
      <c r="G102" s="16" t="s">
        <v>14</v>
      </c>
      <c r="H102" s="17">
        <v>3</v>
      </c>
    </row>
    <row r="103" spans="1:8" ht="15.75" customHeight="1" x14ac:dyDescent="0.15">
      <c r="A103" s="15" t="s">
        <v>229</v>
      </c>
      <c r="B103" s="16">
        <v>4</v>
      </c>
      <c r="C103" s="16" t="s">
        <v>239</v>
      </c>
      <c r="D103" s="16" t="s">
        <v>205</v>
      </c>
      <c r="E103" s="16" t="s">
        <v>240</v>
      </c>
      <c r="F103" s="16" t="s">
        <v>241</v>
      </c>
      <c r="G103" s="16" t="s">
        <v>14</v>
      </c>
      <c r="H103" s="17">
        <v>3</v>
      </c>
    </row>
    <row r="104" spans="1:8" ht="15.75" customHeight="1" x14ac:dyDescent="0.15">
      <c r="A104" s="15" t="s">
        <v>229</v>
      </c>
      <c r="B104" s="16">
        <v>5</v>
      </c>
      <c r="C104" s="16" t="s">
        <v>242</v>
      </c>
      <c r="D104" s="16" t="s">
        <v>206</v>
      </c>
      <c r="E104" s="16" t="s">
        <v>243</v>
      </c>
      <c r="F104" s="16" t="s">
        <v>244</v>
      </c>
      <c r="G104" s="16" t="s">
        <v>14</v>
      </c>
      <c r="H104" s="17">
        <v>3</v>
      </c>
    </row>
    <row r="105" spans="1:8" ht="15.75" customHeight="1" x14ac:dyDescent="0.15">
      <c r="A105" s="14" t="s">
        <v>229</v>
      </c>
      <c r="B105" s="18">
        <v>6</v>
      </c>
      <c r="C105" s="19"/>
      <c r="D105" s="18" t="s">
        <v>207</v>
      </c>
      <c r="E105" s="18" t="s">
        <v>245</v>
      </c>
      <c r="F105" s="18" t="s">
        <v>246</v>
      </c>
      <c r="G105" s="18" t="s">
        <v>14</v>
      </c>
      <c r="H105" s="20">
        <v>3</v>
      </c>
    </row>
    <row r="106" spans="1:8" ht="15.75" customHeight="1" x14ac:dyDescent="0.15">
      <c r="A106" s="14" t="s">
        <v>229</v>
      </c>
      <c r="B106" s="18">
        <v>7</v>
      </c>
      <c r="C106" s="19"/>
      <c r="D106" s="18" t="s">
        <v>208</v>
      </c>
      <c r="E106" s="18" t="s">
        <v>247</v>
      </c>
      <c r="F106" s="18" t="s">
        <v>248</v>
      </c>
      <c r="G106" s="18" t="s">
        <v>14</v>
      </c>
      <c r="H106" s="20">
        <v>2</v>
      </c>
    </row>
    <row r="107" spans="1:8" ht="15.75" customHeight="1" x14ac:dyDescent="0.15">
      <c r="A107" s="21" t="s">
        <v>249</v>
      </c>
      <c r="B107" s="22">
        <v>1</v>
      </c>
      <c r="C107" s="22" t="s">
        <v>250</v>
      </c>
      <c r="D107" s="22" t="s">
        <v>209</v>
      </c>
      <c r="E107" s="22" t="s">
        <v>251</v>
      </c>
      <c r="F107" s="22" t="s">
        <v>252</v>
      </c>
      <c r="G107" s="22" t="s">
        <v>14</v>
      </c>
      <c r="H107" s="23">
        <v>3</v>
      </c>
    </row>
    <row r="108" spans="1:8" ht="15.75" customHeight="1" x14ac:dyDescent="0.15">
      <c r="A108" s="21" t="s">
        <v>249</v>
      </c>
      <c r="B108" s="22">
        <v>2</v>
      </c>
      <c r="C108" s="22" t="s">
        <v>253</v>
      </c>
      <c r="D108" s="22" t="s">
        <v>210</v>
      </c>
      <c r="E108" s="22" t="s">
        <v>254</v>
      </c>
      <c r="F108" s="22" t="s">
        <v>255</v>
      </c>
      <c r="G108" s="22" t="s">
        <v>14</v>
      </c>
      <c r="H108" s="23">
        <v>3</v>
      </c>
    </row>
    <row r="109" spans="1:8" ht="15.75" customHeight="1" x14ac:dyDescent="0.15">
      <c r="A109" s="21" t="s">
        <v>249</v>
      </c>
      <c r="B109" s="22">
        <v>3</v>
      </c>
      <c r="C109" s="22" t="s">
        <v>256</v>
      </c>
      <c r="D109" s="22" t="s">
        <v>211</v>
      </c>
      <c r="E109" s="22" t="s">
        <v>257</v>
      </c>
      <c r="F109" s="22" t="s">
        <v>258</v>
      </c>
      <c r="G109" s="22" t="s">
        <v>14</v>
      </c>
      <c r="H109" s="23">
        <v>3</v>
      </c>
    </row>
    <row r="110" spans="1:8" ht="15.75" customHeight="1" x14ac:dyDescent="0.15">
      <c r="A110" s="21" t="s">
        <v>249</v>
      </c>
      <c r="B110" s="22">
        <v>4</v>
      </c>
      <c r="C110" s="22" t="s">
        <v>259</v>
      </c>
      <c r="D110" s="22" t="s">
        <v>212</v>
      </c>
      <c r="E110" s="22" t="s">
        <v>260</v>
      </c>
      <c r="F110" s="22" t="s">
        <v>261</v>
      </c>
      <c r="G110" s="22" t="s">
        <v>14</v>
      </c>
      <c r="H110" s="23">
        <v>3</v>
      </c>
    </row>
    <row r="111" spans="1:8" ht="15.75" customHeight="1" x14ac:dyDescent="0.15">
      <c r="A111" s="21" t="s">
        <v>249</v>
      </c>
      <c r="B111" s="22">
        <v>5</v>
      </c>
      <c r="C111" s="22" t="s">
        <v>262</v>
      </c>
      <c r="D111" s="22" t="s">
        <v>213</v>
      </c>
      <c r="E111" s="22" t="s">
        <v>263</v>
      </c>
      <c r="F111" s="22" t="s">
        <v>264</v>
      </c>
      <c r="G111" s="22" t="s">
        <v>14</v>
      </c>
      <c r="H111" s="23">
        <v>3</v>
      </c>
    </row>
    <row r="112" spans="1:8" ht="15.75" customHeight="1" x14ac:dyDescent="0.15">
      <c r="A112" s="14" t="s">
        <v>249</v>
      </c>
      <c r="B112" s="18">
        <v>6</v>
      </c>
      <c r="C112" s="19"/>
      <c r="D112" s="18" t="s">
        <v>207</v>
      </c>
      <c r="E112" s="18" t="s">
        <v>245</v>
      </c>
      <c r="F112" s="18" t="s">
        <v>246</v>
      </c>
      <c r="G112" s="18" t="s">
        <v>14</v>
      </c>
      <c r="H112" s="20">
        <v>3</v>
      </c>
    </row>
    <row r="113" spans="1:8" ht="15.75" customHeight="1" x14ac:dyDescent="0.15">
      <c r="A113" s="14" t="s">
        <v>249</v>
      </c>
      <c r="B113" s="18">
        <v>7</v>
      </c>
      <c r="C113" s="19"/>
      <c r="D113" s="18" t="s">
        <v>208</v>
      </c>
      <c r="E113" s="18" t="s">
        <v>247</v>
      </c>
      <c r="F113" s="18" t="s">
        <v>248</v>
      </c>
      <c r="G113" s="18" t="s">
        <v>14</v>
      </c>
      <c r="H113" s="20">
        <v>2</v>
      </c>
    </row>
    <row r="114" spans="1:8" ht="15.75" customHeight="1" x14ac:dyDescent="0.15">
      <c r="A114" s="24" t="s">
        <v>265</v>
      </c>
      <c r="B114" s="25">
        <v>1</v>
      </c>
      <c r="C114" s="25" t="s">
        <v>266</v>
      </c>
      <c r="D114" s="25" t="s">
        <v>214</v>
      </c>
      <c r="E114" s="25" t="s">
        <v>267</v>
      </c>
      <c r="F114" s="25" t="s">
        <v>268</v>
      </c>
      <c r="G114" s="25" t="s">
        <v>14</v>
      </c>
      <c r="H114" s="26">
        <v>3</v>
      </c>
    </row>
    <row r="115" spans="1:8" ht="15.75" customHeight="1" x14ac:dyDescent="0.15">
      <c r="A115" s="24" t="s">
        <v>265</v>
      </c>
      <c r="B115" s="25">
        <v>2</v>
      </c>
      <c r="C115" s="25" t="s">
        <v>269</v>
      </c>
      <c r="D115" s="25" t="s">
        <v>215</v>
      </c>
      <c r="E115" s="25" t="s">
        <v>270</v>
      </c>
      <c r="F115" s="25" t="s">
        <v>271</v>
      </c>
      <c r="G115" s="25" t="s">
        <v>14</v>
      </c>
      <c r="H115" s="26">
        <v>3</v>
      </c>
    </row>
    <row r="116" spans="1:8" ht="15.75" customHeight="1" x14ac:dyDescent="0.15">
      <c r="A116" s="24" t="s">
        <v>265</v>
      </c>
      <c r="B116" s="25">
        <v>3</v>
      </c>
      <c r="C116" s="25" t="s">
        <v>272</v>
      </c>
      <c r="D116" s="25" t="s">
        <v>216</v>
      </c>
      <c r="E116" s="25" t="s">
        <v>273</v>
      </c>
      <c r="F116" s="25" t="s">
        <v>274</v>
      </c>
      <c r="G116" s="25" t="s">
        <v>14</v>
      </c>
      <c r="H116" s="26">
        <v>3</v>
      </c>
    </row>
    <row r="117" spans="1:8" ht="15.75" customHeight="1" x14ac:dyDescent="0.15">
      <c r="A117" s="24" t="s">
        <v>265</v>
      </c>
      <c r="B117" s="25">
        <v>4</v>
      </c>
      <c r="C117" s="25" t="s">
        <v>275</v>
      </c>
      <c r="D117" s="25" t="s">
        <v>217</v>
      </c>
      <c r="E117" s="25" t="s">
        <v>276</v>
      </c>
      <c r="F117" s="25" t="s">
        <v>277</v>
      </c>
      <c r="G117" s="25" t="s">
        <v>14</v>
      </c>
      <c r="H117" s="26">
        <v>3</v>
      </c>
    </row>
    <row r="118" spans="1:8" ht="15.75" customHeight="1" x14ac:dyDescent="0.15">
      <c r="A118" s="24" t="s">
        <v>265</v>
      </c>
      <c r="B118" s="25">
        <v>5</v>
      </c>
      <c r="C118" s="25" t="s">
        <v>278</v>
      </c>
      <c r="D118" s="25" t="s">
        <v>218</v>
      </c>
      <c r="E118" s="25" t="s">
        <v>279</v>
      </c>
      <c r="F118" s="25" t="s">
        <v>280</v>
      </c>
      <c r="G118" s="25" t="s">
        <v>14</v>
      </c>
      <c r="H118" s="26">
        <v>3</v>
      </c>
    </row>
    <row r="119" spans="1:8" ht="15.75" customHeight="1" x14ac:dyDescent="0.15">
      <c r="A119" s="14" t="s">
        <v>265</v>
      </c>
      <c r="B119" s="18">
        <v>6</v>
      </c>
      <c r="C119" s="19"/>
      <c r="D119" s="18" t="s">
        <v>207</v>
      </c>
      <c r="E119" s="18" t="s">
        <v>245</v>
      </c>
      <c r="F119" s="18" t="s">
        <v>246</v>
      </c>
      <c r="G119" s="18" t="s">
        <v>14</v>
      </c>
      <c r="H119" s="20">
        <v>3</v>
      </c>
    </row>
    <row r="120" spans="1:8" ht="15.75" customHeight="1" x14ac:dyDescent="0.15">
      <c r="A120" s="14" t="s">
        <v>265</v>
      </c>
      <c r="B120" s="18">
        <v>7</v>
      </c>
      <c r="C120" s="19"/>
      <c r="D120" s="18" t="s">
        <v>208</v>
      </c>
      <c r="E120" s="18" t="s">
        <v>247</v>
      </c>
      <c r="F120" s="18" t="s">
        <v>248</v>
      </c>
      <c r="G120" s="18" t="s">
        <v>14</v>
      </c>
      <c r="H120" s="20">
        <v>2</v>
      </c>
    </row>
    <row r="121" spans="1:8" ht="15.75" customHeight="1" x14ac:dyDescent="0.15">
      <c r="A121" s="27" t="s">
        <v>281</v>
      </c>
      <c r="B121" s="11">
        <v>1</v>
      </c>
      <c r="C121" s="12"/>
      <c r="D121" s="11" t="s">
        <v>219</v>
      </c>
      <c r="E121" s="11" t="s">
        <v>219</v>
      </c>
      <c r="F121" s="11" t="s">
        <v>219</v>
      </c>
      <c r="G121" s="11" t="s">
        <v>14</v>
      </c>
      <c r="H121" s="8">
        <v>3</v>
      </c>
    </row>
    <row r="122" spans="1:8" ht="15.75" customHeight="1" x14ac:dyDescent="0.15">
      <c r="A122" s="27" t="s">
        <v>281</v>
      </c>
      <c r="B122" s="11">
        <v>2</v>
      </c>
      <c r="C122" s="12"/>
      <c r="D122" s="11" t="s">
        <v>220</v>
      </c>
      <c r="E122" s="11" t="s">
        <v>220</v>
      </c>
      <c r="F122" s="11" t="s">
        <v>220</v>
      </c>
      <c r="G122" s="11" t="s">
        <v>14</v>
      </c>
      <c r="H122" s="8">
        <v>3</v>
      </c>
    </row>
    <row r="123" spans="1:8" ht="15.75" customHeight="1" x14ac:dyDescent="0.15">
      <c r="A123" s="27" t="s">
        <v>281</v>
      </c>
      <c r="B123" s="11">
        <v>3</v>
      </c>
      <c r="C123" s="12"/>
      <c r="D123" s="11" t="s">
        <v>221</v>
      </c>
      <c r="E123" s="11" t="s">
        <v>221</v>
      </c>
      <c r="F123" s="11" t="s">
        <v>221</v>
      </c>
      <c r="G123" s="11" t="s">
        <v>14</v>
      </c>
      <c r="H123" s="8">
        <v>3</v>
      </c>
    </row>
    <row r="124" spans="1:8" ht="15.75" customHeight="1" x14ac:dyDescent="0.15">
      <c r="A124" s="27" t="s">
        <v>281</v>
      </c>
      <c r="B124" s="11">
        <v>4</v>
      </c>
      <c r="C124" s="12"/>
      <c r="D124" s="11" t="s">
        <v>222</v>
      </c>
      <c r="E124" s="11" t="s">
        <v>222</v>
      </c>
      <c r="F124" s="11" t="s">
        <v>222</v>
      </c>
      <c r="G124" s="11" t="s">
        <v>14</v>
      </c>
      <c r="H124" s="8">
        <v>3</v>
      </c>
    </row>
    <row r="125" spans="1:8" ht="15.75" customHeight="1" x14ac:dyDescent="0.15">
      <c r="A125" s="27" t="s">
        <v>281</v>
      </c>
      <c r="B125" s="11">
        <v>5</v>
      </c>
      <c r="C125" s="12"/>
      <c r="D125" s="11" t="s">
        <v>223</v>
      </c>
      <c r="E125" s="11" t="s">
        <v>223</v>
      </c>
      <c r="F125" s="11" t="s">
        <v>223</v>
      </c>
      <c r="G125" s="11" t="s">
        <v>14</v>
      </c>
      <c r="H125" s="8">
        <v>3</v>
      </c>
    </row>
    <row r="126" spans="1:8" ht="15.75" customHeight="1" x14ac:dyDescent="0.15">
      <c r="A126" s="27" t="s">
        <v>281</v>
      </c>
      <c r="B126" s="11">
        <v>6</v>
      </c>
      <c r="C126" s="12"/>
      <c r="D126" s="11" t="s">
        <v>224</v>
      </c>
      <c r="E126" s="11" t="s">
        <v>224</v>
      </c>
      <c r="F126" s="11" t="s">
        <v>224</v>
      </c>
      <c r="G126" s="11" t="s">
        <v>14</v>
      </c>
      <c r="H126" s="8">
        <v>3</v>
      </c>
    </row>
    <row r="127" spans="1:8" ht="15.75" customHeight="1" x14ac:dyDescent="0.15">
      <c r="A127" s="27" t="s">
        <v>281</v>
      </c>
      <c r="B127" s="11">
        <v>7</v>
      </c>
      <c r="C127" s="12"/>
      <c r="D127" s="11" t="s">
        <v>208</v>
      </c>
      <c r="E127" s="11" t="s">
        <v>247</v>
      </c>
      <c r="F127" s="11" t="s">
        <v>248</v>
      </c>
      <c r="G127" s="11" t="s">
        <v>14</v>
      </c>
      <c r="H127" s="8">
        <v>2</v>
      </c>
    </row>
    <row r="128" spans="1:8" ht="15.75" customHeight="1" x14ac:dyDescent="0.15">
      <c r="A128" s="28" t="s">
        <v>282</v>
      </c>
      <c r="B128" s="10">
        <v>1</v>
      </c>
      <c r="C128" s="29"/>
      <c r="D128" s="10" t="s">
        <v>225</v>
      </c>
      <c r="E128" s="10" t="s">
        <v>225</v>
      </c>
      <c r="F128" s="10" t="s">
        <v>225</v>
      </c>
      <c r="G128" s="10" t="s">
        <v>14</v>
      </c>
      <c r="H128" s="7">
        <v>1</v>
      </c>
    </row>
    <row r="129" spans="1:8" ht="15.75" customHeight="1" x14ac:dyDescent="0.15">
      <c r="A129" s="28" t="s">
        <v>282</v>
      </c>
      <c r="B129" s="10">
        <v>2</v>
      </c>
      <c r="C129" s="29"/>
      <c r="D129" s="10" t="s">
        <v>226</v>
      </c>
      <c r="E129" s="10" t="s">
        <v>226</v>
      </c>
      <c r="F129" s="10" t="s">
        <v>226</v>
      </c>
      <c r="G129" s="10" t="s">
        <v>14</v>
      </c>
      <c r="H129" s="7">
        <v>2</v>
      </c>
    </row>
    <row r="130" spans="1:8" ht="15.75" customHeight="1" x14ac:dyDescent="0.15">
      <c r="A130" s="28" t="s">
        <v>282</v>
      </c>
      <c r="B130" s="10">
        <v>3</v>
      </c>
      <c r="C130" s="29"/>
      <c r="D130" s="10" t="s">
        <v>227</v>
      </c>
      <c r="E130" s="10" t="s">
        <v>227</v>
      </c>
      <c r="F130" s="10" t="s">
        <v>227</v>
      </c>
      <c r="G130" s="10" t="s">
        <v>14</v>
      </c>
      <c r="H130" s="7">
        <v>3</v>
      </c>
    </row>
  </sheetData>
  <mergeCells count="1">
    <mergeCell ref="A2:H2"/>
  </mergeCells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19EFD-0DC2-FB4B-866A-B96F1C7A4FE7}">
  <dimension ref="A1:G50"/>
  <sheetViews>
    <sheetView topLeftCell="A36" zoomScale="160" zoomScaleNormal="160" workbookViewId="0">
      <selection activeCell="H50" sqref="H50"/>
    </sheetView>
  </sheetViews>
  <sheetFormatPr baseColWidth="10" defaultColWidth="11.5" defaultRowHeight="13" x14ac:dyDescent="0.15"/>
  <cols>
    <col min="2" max="2" width="26.6640625" style="33" customWidth="1"/>
    <col min="3" max="3" width="6.83203125" style="31" customWidth="1"/>
    <col min="4" max="4" width="9.1640625" style="31" customWidth="1"/>
    <col min="5" max="5" width="23.83203125" style="33" customWidth="1"/>
    <col min="6" max="6" width="6.1640625" style="9" customWidth="1"/>
    <col min="7" max="7" width="9.1640625" style="9" customWidth="1"/>
  </cols>
  <sheetData>
    <row r="1" spans="1:7" x14ac:dyDescent="0.15">
      <c r="B1" s="129">
        <v>2021</v>
      </c>
      <c r="C1" s="129"/>
      <c r="D1" s="43"/>
      <c r="E1" s="130">
        <v>2026</v>
      </c>
      <c r="F1" s="130"/>
      <c r="G1" s="41"/>
    </row>
    <row r="2" spans="1:7" ht="14" x14ac:dyDescent="0.15">
      <c r="B2" s="43" t="s">
        <v>3</v>
      </c>
      <c r="C2" s="43" t="s">
        <v>5</v>
      </c>
      <c r="D2" s="43" t="s">
        <v>0</v>
      </c>
      <c r="E2" s="42" t="s">
        <v>3</v>
      </c>
      <c r="F2" s="41" t="s">
        <v>5</v>
      </c>
      <c r="G2" s="41" t="s">
        <v>0</v>
      </c>
    </row>
    <row r="3" spans="1:7" ht="14" x14ac:dyDescent="0.15">
      <c r="A3" s="1" t="s">
        <v>358</v>
      </c>
      <c r="B3" s="36" t="s">
        <v>301</v>
      </c>
      <c r="C3" s="35">
        <v>3</v>
      </c>
      <c r="D3" s="35">
        <v>2</v>
      </c>
      <c r="E3" s="134" t="s">
        <v>105</v>
      </c>
      <c r="F3" s="131">
        <v>3</v>
      </c>
      <c r="G3" s="131">
        <v>1</v>
      </c>
    </row>
    <row r="4" spans="1:7" ht="14" x14ac:dyDescent="0.15">
      <c r="B4" s="36" t="s">
        <v>288</v>
      </c>
      <c r="C4" s="35">
        <v>2</v>
      </c>
      <c r="D4" s="35">
        <v>1</v>
      </c>
      <c r="E4" s="134"/>
      <c r="F4" s="131"/>
      <c r="G4" s="131"/>
    </row>
    <row r="5" spans="1:7" ht="13" customHeight="1" x14ac:dyDescent="0.15">
      <c r="B5" s="36" t="s">
        <v>290</v>
      </c>
      <c r="C5" s="35">
        <v>2</v>
      </c>
      <c r="D5" s="35">
        <v>1</v>
      </c>
      <c r="E5" s="135" t="s">
        <v>107</v>
      </c>
      <c r="F5" s="132">
        <v>3</v>
      </c>
      <c r="G5" s="132">
        <v>1</v>
      </c>
    </row>
    <row r="6" spans="1:7" ht="28" x14ac:dyDescent="0.15">
      <c r="B6" s="36" t="s">
        <v>357</v>
      </c>
      <c r="C6" s="35">
        <v>2</v>
      </c>
      <c r="D6" s="35">
        <v>1</v>
      </c>
      <c r="E6" s="136"/>
      <c r="F6" s="133"/>
      <c r="G6" s="133"/>
    </row>
    <row r="7" spans="1:7" ht="14" x14ac:dyDescent="0.15">
      <c r="B7" s="36" t="s">
        <v>285</v>
      </c>
      <c r="C7" s="35">
        <v>3</v>
      </c>
      <c r="D7" s="35">
        <v>1</v>
      </c>
      <c r="E7" s="40" t="s">
        <v>108</v>
      </c>
      <c r="F7" s="39">
        <v>3</v>
      </c>
      <c r="G7" s="38">
        <v>1</v>
      </c>
    </row>
    <row r="8" spans="1:7" ht="33" customHeight="1" x14ac:dyDescent="0.15">
      <c r="B8" s="36" t="s">
        <v>119</v>
      </c>
      <c r="C8" s="35">
        <v>2</v>
      </c>
      <c r="D8" s="35">
        <v>2</v>
      </c>
      <c r="E8" s="40" t="s">
        <v>119</v>
      </c>
      <c r="F8" s="38">
        <v>3</v>
      </c>
      <c r="G8" s="38">
        <v>2</v>
      </c>
    </row>
    <row r="9" spans="1:7" ht="28" x14ac:dyDescent="0.15">
      <c r="B9" s="36" t="s">
        <v>342</v>
      </c>
      <c r="C9" s="34">
        <v>2</v>
      </c>
      <c r="D9" s="34">
        <v>6</v>
      </c>
      <c r="E9" s="40" t="s">
        <v>137</v>
      </c>
      <c r="F9" s="37">
        <v>2</v>
      </c>
      <c r="G9" s="37">
        <v>5</v>
      </c>
    </row>
    <row r="10" spans="1:7" ht="14" x14ac:dyDescent="0.15">
      <c r="B10" s="36" t="s">
        <v>338</v>
      </c>
      <c r="C10" s="34">
        <v>3</v>
      </c>
      <c r="D10" s="34">
        <v>6</v>
      </c>
      <c r="E10" s="40" t="s">
        <v>139</v>
      </c>
      <c r="F10" s="37">
        <v>3</v>
      </c>
      <c r="G10" s="37">
        <v>5</v>
      </c>
    </row>
    <row r="11" spans="1:7" ht="14" x14ac:dyDescent="0.15">
      <c r="B11" s="36" t="s">
        <v>362</v>
      </c>
      <c r="C11" s="34">
        <v>4</v>
      </c>
      <c r="D11" s="34">
        <v>8</v>
      </c>
      <c r="E11" s="40" t="s">
        <v>363</v>
      </c>
      <c r="F11" s="37">
        <v>3</v>
      </c>
      <c r="G11" s="37">
        <v>7</v>
      </c>
    </row>
    <row r="12" spans="1:7" ht="14" x14ac:dyDescent="0.15">
      <c r="B12" s="36" t="s">
        <v>295</v>
      </c>
      <c r="C12" s="34">
        <v>2</v>
      </c>
      <c r="D12" s="34">
        <v>1</v>
      </c>
      <c r="E12" s="40" t="s">
        <v>146</v>
      </c>
      <c r="F12" s="37">
        <v>2</v>
      </c>
      <c r="G12" s="37">
        <v>7</v>
      </c>
    </row>
    <row r="13" spans="1:7" ht="14" x14ac:dyDescent="0.15">
      <c r="B13" s="36" t="s">
        <v>313</v>
      </c>
      <c r="C13" s="34">
        <v>3</v>
      </c>
      <c r="D13" s="34">
        <v>3</v>
      </c>
      <c r="E13" s="40" t="s">
        <v>365</v>
      </c>
      <c r="F13" s="37">
        <v>3</v>
      </c>
      <c r="G13" s="37">
        <v>4</v>
      </c>
    </row>
    <row r="14" spans="1:7" ht="14" x14ac:dyDescent="0.15">
      <c r="B14" s="36" t="s">
        <v>317</v>
      </c>
      <c r="C14" s="34">
        <v>3</v>
      </c>
      <c r="D14" s="34">
        <v>4</v>
      </c>
      <c r="E14" s="40" t="s">
        <v>138</v>
      </c>
      <c r="F14" s="37">
        <v>3</v>
      </c>
      <c r="G14" s="37">
        <v>5</v>
      </c>
    </row>
    <row r="15" spans="1:7" ht="14" x14ac:dyDescent="0.15">
      <c r="B15" s="36" t="s">
        <v>320</v>
      </c>
      <c r="C15" s="34">
        <v>2</v>
      </c>
      <c r="D15" s="34">
        <v>4</v>
      </c>
      <c r="E15" s="40" t="s">
        <v>109</v>
      </c>
      <c r="F15" s="37">
        <v>2</v>
      </c>
      <c r="G15" s="37">
        <v>1</v>
      </c>
    </row>
    <row r="16" spans="1:7" ht="14" x14ac:dyDescent="0.15">
      <c r="B16" s="36" t="s">
        <v>231</v>
      </c>
      <c r="C16" s="34">
        <v>2</v>
      </c>
      <c r="D16" s="34">
        <v>6</v>
      </c>
      <c r="E16" s="40" t="s">
        <v>366</v>
      </c>
      <c r="F16" s="37"/>
      <c r="G16" s="37"/>
    </row>
    <row r="17" spans="1:7" x14ac:dyDescent="0.15">
      <c r="B17" s="32"/>
      <c r="E17" s="32"/>
    </row>
    <row r="18" spans="1:7" x14ac:dyDescent="0.15">
      <c r="B18" s="129">
        <v>2021</v>
      </c>
      <c r="C18" s="129"/>
      <c r="D18" s="43"/>
      <c r="E18" s="130">
        <v>2026</v>
      </c>
      <c r="F18" s="130"/>
      <c r="G18" s="41"/>
    </row>
    <row r="19" spans="1:7" ht="14" x14ac:dyDescent="0.15">
      <c r="B19" s="43" t="s">
        <v>3</v>
      </c>
      <c r="C19" s="43" t="s">
        <v>5</v>
      </c>
      <c r="D19" s="43" t="s">
        <v>0</v>
      </c>
      <c r="E19" s="42" t="s">
        <v>3</v>
      </c>
      <c r="F19" s="41" t="s">
        <v>5</v>
      </c>
      <c r="G19" s="41" t="s">
        <v>0</v>
      </c>
    </row>
    <row r="20" spans="1:7" ht="28" x14ac:dyDescent="0.15">
      <c r="A20" s="1" t="s">
        <v>359</v>
      </c>
      <c r="B20" s="36" t="s">
        <v>112</v>
      </c>
      <c r="C20" s="34">
        <v>2</v>
      </c>
      <c r="D20" s="34">
        <v>2</v>
      </c>
      <c r="E20" s="45" t="s">
        <v>112</v>
      </c>
      <c r="F20" s="44">
        <v>2</v>
      </c>
      <c r="G20" s="44">
        <v>1</v>
      </c>
    </row>
    <row r="21" spans="1:7" ht="14" x14ac:dyDescent="0.15">
      <c r="B21" s="36" t="s">
        <v>113</v>
      </c>
      <c r="C21" s="34">
        <v>2</v>
      </c>
      <c r="D21" s="34">
        <v>6</v>
      </c>
      <c r="E21" s="139" t="str">
        <f>B21</f>
        <v>Agama</v>
      </c>
      <c r="F21" s="44">
        <v>2</v>
      </c>
      <c r="G21" s="44">
        <v>2</v>
      </c>
    </row>
    <row r="22" spans="1:7" ht="14" x14ac:dyDescent="0.15">
      <c r="B22" s="36" t="s">
        <v>115</v>
      </c>
      <c r="C22" s="34">
        <v>3</v>
      </c>
      <c r="D22" s="34">
        <v>3</v>
      </c>
      <c r="E22" s="139" t="str">
        <f t="shared" ref="E22:E38" si="0">B22</f>
        <v>Arsitektur Komputer</v>
      </c>
      <c r="F22" s="44">
        <v>3</v>
      </c>
      <c r="G22" s="44">
        <v>2</v>
      </c>
    </row>
    <row r="23" spans="1:7" ht="14" x14ac:dyDescent="0.15">
      <c r="B23" s="36" t="s">
        <v>118</v>
      </c>
      <c r="C23" s="34">
        <v>2</v>
      </c>
      <c r="D23" s="34">
        <v>3</v>
      </c>
      <c r="E23" s="139" t="str">
        <f t="shared" si="0"/>
        <v>Statistika</v>
      </c>
      <c r="F23" s="44">
        <v>2</v>
      </c>
      <c r="G23" s="44">
        <v>2</v>
      </c>
    </row>
    <row r="24" spans="1:7" ht="14" x14ac:dyDescent="0.15">
      <c r="B24" s="36" t="s">
        <v>120</v>
      </c>
      <c r="C24" s="34">
        <v>3</v>
      </c>
      <c r="D24" s="34">
        <v>4</v>
      </c>
      <c r="E24" s="139" t="str">
        <f t="shared" si="0"/>
        <v>Teknologi Basis Data</v>
      </c>
      <c r="F24" s="44">
        <v>3</v>
      </c>
      <c r="G24" s="44">
        <v>2</v>
      </c>
    </row>
    <row r="25" spans="1:7" ht="14" x14ac:dyDescent="0.15">
      <c r="B25" s="36" t="s">
        <v>122</v>
      </c>
      <c r="C25" s="34">
        <v>3</v>
      </c>
      <c r="D25" s="34">
        <v>4</v>
      </c>
      <c r="E25" s="139" t="str">
        <f t="shared" si="0"/>
        <v>Jaringan Komputer</v>
      </c>
      <c r="F25" s="44">
        <v>3</v>
      </c>
      <c r="G25" s="44">
        <v>3</v>
      </c>
    </row>
    <row r="26" spans="1:7" ht="14" x14ac:dyDescent="0.15">
      <c r="B26" s="36" t="s">
        <v>128</v>
      </c>
      <c r="C26" s="34">
        <v>3</v>
      </c>
      <c r="D26" s="34">
        <v>5</v>
      </c>
      <c r="E26" s="139" t="str">
        <f t="shared" si="0"/>
        <v>Sistem Operasi</v>
      </c>
      <c r="F26" s="44">
        <v>2</v>
      </c>
      <c r="G26" s="44">
        <v>3</v>
      </c>
    </row>
    <row r="27" spans="1:7" ht="14" x14ac:dyDescent="0.15">
      <c r="B27" s="36" t="s">
        <v>129</v>
      </c>
      <c r="C27" s="34">
        <v>2</v>
      </c>
      <c r="D27" s="34">
        <v>5</v>
      </c>
      <c r="E27" s="139" t="str">
        <f t="shared" si="0"/>
        <v>Komputasi Awan</v>
      </c>
      <c r="F27" s="44">
        <v>2</v>
      </c>
      <c r="G27" s="44">
        <v>4</v>
      </c>
    </row>
    <row r="28" spans="1:7" ht="14" x14ac:dyDescent="0.15">
      <c r="B28" s="36" t="s">
        <v>131</v>
      </c>
      <c r="C28" s="34">
        <v>3</v>
      </c>
      <c r="D28" s="34">
        <v>5</v>
      </c>
      <c r="E28" s="139" t="str">
        <f t="shared" si="0"/>
        <v>Pengembangan Aplikasi Web</v>
      </c>
      <c r="F28" s="44">
        <v>3</v>
      </c>
      <c r="G28" s="44">
        <v>4</v>
      </c>
    </row>
    <row r="29" spans="1:7" ht="14" x14ac:dyDescent="0.15">
      <c r="B29" s="36" t="s">
        <v>133</v>
      </c>
      <c r="C29" s="34">
        <v>3</v>
      </c>
      <c r="D29" s="34">
        <v>5</v>
      </c>
      <c r="E29" s="139" t="str">
        <f t="shared" si="0"/>
        <v>Rekayasa Data</v>
      </c>
      <c r="F29" s="44">
        <v>3</v>
      </c>
      <c r="G29" s="44">
        <v>4</v>
      </c>
    </row>
    <row r="30" spans="1:7" ht="14" x14ac:dyDescent="0.15">
      <c r="B30" s="36" t="s">
        <v>134</v>
      </c>
      <c r="C30" s="34">
        <v>3</v>
      </c>
      <c r="D30" s="34">
        <v>5</v>
      </c>
      <c r="E30" s="139" t="str">
        <f t="shared" si="0"/>
        <v>Rekayasa Perangkat Lunak</v>
      </c>
      <c r="F30" s="44">
        <v>3</v>
      </c>
      <c r="G30" s="44">
        <v>4</v>
      </c>
    </row>
    <row r="31" spans="1:7" ht="28" x14ac:dyDescent="0.15">
      <c r="B31" s="36" t="s">
        <v>132</v>
      </c>
      <c r="C31" s="34">
        <v>2</v>
      </c>
      <c r="D31" s="34">
        <v>5</v>
      </c>
      <c r="E31" s="139" t="str">
        <f t="shared" si="0"/>
        <v>Proyek Junior Teknologi Informasi</v>
      </c>
      <c r="F31" s="44">
        <v>2</v>
      </c>
      <c r="G31" s="44">
        <v>4</v>
      </c>
    </row>
    <row r="32" spans="1:7" ht="28" x14ac:dyDescent="0.15">
      <c r="B32" s="36" t="s">
        <v>143</v>
      </c>
      <c r="C32" s="34">
        <v>3</v>
      </c>
      <c r="D32" s="34">
        <v>6</v>
      </c>
      <c r="E32" s="139" t="str">
        <f t="shared" si="0"/>
        <v>Proyek Senior Teknologi Informasi</v>
      </c>
      <c r="F32" s="44">
        <v>3</v>
      </c>
      <c r="G32" s="44">
        <v>5</v>
      </c>
    </row>
    <row r="33" spans="1:7" ht="14" x14ac:dyDescent="0.15">
      <c r="B33" s="36" t="s">
        <v>361</v>
      </c>
      <c r="C33" s="34">
        <v>2</v>
      </c>
      <c r="D33" s="34">
        <v>6</v>
      </c>
      <c r="E33" s="139" t="str">
        <f t="shared" si="0"/>
        <v>Kewarganegaran</v>
      </c>
      <c r="F33" s="44">
        <v>2</v>
      </c>
      <c r="G33" s="44">
        <v>5</v>
      </c>
    </row>
    <row r="34" spans="1:7" ht="14" x14ac:dyDescent="0.15">
      <c r="B34" s="36" t="s">
        <v>142</v>
      </c>
      <c r="C34" s="34">
        <v>2</v>
      </c>
      <c r="D34" s="34">
        <v>6</v>
      </c>
      <c r="E34" s="139" t="str">
        <f t="shared" si="0"/>
        <v>Pancasila</v>
      </c>
      <c r="F34" s="44">
        <v>2</v>
      </c>
      <c r="G34" s="44">
        <v>5</v>
      </c>
    </row>
    <row r="35" spans="1:7" ht="14" x14ac:dyDescent="0.15">
      <c r="B35" s="36" t="s">
        <v>144</v>
      </c>
      <c r="C35" s="34">
        <v>3</v>
      </c>
      <c r="D35" s="34">
        <v>4</v>
      </c>
      <c r="E35" s="139" t="str">
        <f t="shared" si="0"/>
        <v>Teknik Visualisasi Grafis</v>
      </c>
      <c r="F35" s="44">
        <v>3</v>
      </c>
      <c r="G35" s="44">
        <v>5</v>
      </c>
    </row>
    <row r="36" spans="1:7" ht="24" customHeight="1" x14ac:dyDescent="0.15">
      <c r="B36" s="36" t="s">
        <v>147</v>
      </c>
      <c r="C36" s="34">
        <v>3</v>
      </c>
      <c r="D36" s="34">
        <v>5</v>
      </c>
      <c r="E36" s="139" t="str">
        <f t="shared" si="0"/>
        <v>Interaksi Manusia dan Komputer</v>
      </c>
      <c r="F36" s="44">
        <v>3</v>
      </c>
      <c r="G36" s="44">
        <v>7</v>
      </c>
    </row>
    <row r="37" spans="1:7" ht="28" x14ac:dyDescent="0.15">
      <c r="B37" s="36" t="s">
        <v>153</v>
      </c>
      <c r="C37" s="34">
        <v>2</v>
      </c>
      <c r="D37" s="34">
        <v>6</v>
      </c>
      <c r="E37" s="139" t="str">
        <f t="shared" si="0"/>
        <v>Proyek Perancangan Teknologi Informasi 1</v>
      </c>
      <c r="F37" s="44">
        <v>2</v>
      </c>
      <c r="G37" s="44">
        <v>7</v>
      </c>
    </row>
    <row r="38" spans="1:7" ht="28" x14ac:dyDescent="0.15">
      <c r="B38" s="36" t="s">
        <v>154</v>
      </c>
      <c r="C38" s="34">
        <v>2</v>
      </c>
      <c r="D38" s="34">
        <v>7</v>
      </c>
      <c r="E38" s="139" t="str">
        <f t="shared" si="0"/>
        <v>Proyek Perancangan Teknologi Informasi 2</v>
      </c>
      <c r="F38" s="44">
        <v>2</v>
      </c>
      <c r="G38" s="44">
        <v>8</v>
      </c>
    </row>
    <row r="39" spans="1:7" x14ac:dyDescent="0.15">
      <c r="B39"/>
      <c r="C39"/>
      <c r="D39"/>
      <c r="E39" s="32"/>
      <c r="F39" s="32"/>
      <c r="G39" s="32"/>
    </row>
    <row r="40" spans="1:7" x14ac:dyDescent="0.15">
      <c r="B40"/>
      <c r="C40"/>
      <c r="D40"/>
      <c r="E40" s="130">
        <v>2026</v>
      </c>
      <c r="F40" s="130"/>
      <c r="G40" s="41"/>
    </row>
    <row r="41" spans="1:7" ht="14" x14ac:dyDescent="0.15">
      <c r="B41" s="32"/>
      <c r="E41" s="42" t="s">
        <v>3</v>
      </c>
      <c r="F41" s="41" t="s">
        <v>5</v>
      </c>
      <c r="G41" s="41" t="s">
        <v>0</v>
      </c>
    </row>
    <row r="42" spans="1:7" ht="19" customHeight="1" x14ac:dyDescent="0.15">
      <c r="A42" s="1" t="s">
        <v>360</v>
      </c>
      <c r="E42" s="45" t="s">
        <v>109</v>
      </c>
      <c r="F42" s="46">
        <v>2</v>
      </c>
      <c r="G42" s="46">
        <v>1</v>
      </c>
    </row>
    <row r="43" spans="1:7" ht="19" customHeight="1" x14ac:dyDescent="0.15">
      <c r="E43" s="45" t="s">
        <v>135</v>
      </c>
      <c r="F43" s="44">
        <v>3</v>
      </c>
      <c r="G43" s="44">
        <v>4</v>
      </c>
    </row>
    <row r="44" spans="1:7" ht="19" customHeight="1" x14ac:dyDescent="0.15">
      <c r="E44" s="45" t="s">
        <v>138</v>
      </c>
      <c r="F44" s="44">
        <v>3</v>
      </c>
      <c r="G44" s="44">
        <v>5</v>
      </c>
    </row>
    <row r="45" spans="1:7" ht="19" customHeight="1" x14ac:dyDescent="0.15">
      <c r="E45" s="45" t="s">
        <v>146</v>
      </c>
      <c r="F45" s="44">
        <v>2</v>
      </c>
      <c r="G45" s="44">
        <v>7</v>
      </c>
    </row>
    <row r="47" spans="1:7" x14ac:dyDescent="0.15">
      <c r="B47" s="129">
        <v>2021</v>
      </c>
      <c r="C47" s="129"/>
      <c r="D47" s="43"/>
    </row>
    <row r="48" spans="1:7" ht="14" x14ac:dyDescent="0.15">
      <c r="B48" s="43" t="s">
        <v>3</v>
      </c>
      <c r="C48" s="43" t="s">
        <v>5</v>
      </c>
      <c r="D48" s="43" t="s">
        <v>0</v>
      </c>
    </row>
    <row r="49" spans="1:4" ht="14" x14ac:dyDescent="0.15">
      <c r="A49" s="1" t="s">
        <v>364</v>
      </c>
      <c r="B49" s="36" t="s">
        <v>299</v>
      </c>
      <c r="C49" s="34">
        <v>3</v>
      </c>
      <c r="D49" s="34">
        <v>2</v>
      </c>
    </row>
    <row r="50" spans="1:4" ht="14" x14ac:dyDescent="0.15">
      <c r="B50" s="36" t="s">
        <v>304</v>
      </c>
      <c r="C50" s="34">
        <v>3</v>
      </c>
      <c r="D50" s="34">
        <v>2</v>
      </c>
    </row>
  </sheetData>
  <mergeCells count="12">
    <mergeCell ref="B47:C47"/>
    <mergeCell ref="B1:C1"/>
    <mergeCell ref="E1:F1"/>
    <mergeCell ref="F3:F4"/>
    <mergeCell ref="G3:G4"/>
    <mergeCell ref="F5:F6"/>
    <mergeCell ref="G5:G6"/>
    <mergeCell ref="E40:F40"/>
    <mergeCell ref="B18:C18"/>
    <mergeCell ref="E18:F18"/>
    <mergeCell ref="E3:E4"/>
    <mergeCell ref="E5:E6"/>
  </mergeCells>
  <phoneticPr fontId="4" type="noConversion"/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26D46-7967-7D4F-B576-A42CA49FB67C}">
  <dimension ref="B4:D8"/>
  <sheetViews>
    <sheetView topLeftCell="A8" zoomScale="166" zoomScaleNormal="166" workbookViewId="0">
      <selection activeCell="G7" sqref="G7"/>
    </sheetView>
  </sheetViews>
  <sheetFormatPr baseColWidth="10" defaultColWidth="11.5" defaultRowHeight="13" x14ac:dyDescent="0.15"/>
  <cols>
    <col min="2" max="2" width="16.33203125" bestFit="1" customWidth="1"/>
  </cols>
  <sheetData>
    <row r="4" spans="2:4" ht="15" customHeight="1" x14ac:dyDescent="0.15">
      <c r="B4" s="47" t="s">
        <v>4</v>
      </c>
      <c r="C4" s="47" t="s">
        <v>5</v>
      </c>
      <c r="D4" s="47" t="s">
        <v>369</v>
      </c>
    </row>
    <row r="5" spans="2:4" x14ac:dyDescent="0.15">
      <c r="B5" s="49" t="s">
        <v>367</v>
      </c>
      <c r="C5" s="50">
        <v>23</v>
      </c>
      <c r="D5" s="51">
        <f>C5/$C$8</f>
        <v>0.15972222222222221</v>
      </c>
    </row>
    <row r="6" spans="2:4" x14ac:dyDescent="0.15">
      <c r="B6" s="49" t="s">
        <v>14</v>
      </c>
      <c r="C6" s="50">
        <v>98</v>
      </c>
      <c r="D6" s="51">
        <f t="shared" ref="D6:D7" si="0">C6/$C$8</f>
        <v>0.68055555555555558</v>
      </c>
    </row>
    <row r="7" spans="2:4" x14ac:dyDescent="0.15">
      <c r="B7" s="49" t="s">
        <v>368</v>
      </c>
      <c r="C7" s="50">
        <v>23</v>
      </c>
      <c r="D7" s="51">
        <f t="shared" si="0"/>
        <v>0.15972222222222221</v>
      </c>
    </row>
    <row r="8" spans="2:4" x14ac:dyDescent="0.15">
      <c r="B8" s="50"/>
      <c r="C8" s="50">
        <f>SUM(C5:C7)</f>
        <v>144</v>
      </c>
      <c r="D8" s="50"/>
    </row>
  </sheetData>
  <pageMargins left="0.7" right="0.7" top="0.75" bottom="0.75" header="0.3" footer="0.3"/>
  <pageSetup paperSize="9" orientation="portrait" horizontalDpi="0" verticalDpi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87"/>
  <sheetViews>
    <sheetView topLeftCell="A3" workbookViewId="0">
      <selection activeCell="F80" sqref="F80"/>
    </sheetView>
  </sheetViews>
  <sheetFormatPr baseColWidth="10" defaultColWidth="12.6640625" defaultRowHeight="15.75" customHeight="1" x14ac:dyDescent="0.15"/>
  <cols>
    <col min="1" max="1" width="12.6640625" style="13"/>
    <col min="2" max="2" width="4.83203125" style="13" customWidth="1"/>
    <col min="3" max="3" width="12.6640625" style="13"/>
    <col min="4" max="4" width="60.33203125" style="13" hidden="1" customWidth="1"/>
    <col min="5" max="5" width="35.1640625" style="13" bestFit="1" customWidth="1"/>
    <col min="6" max="6" width="33.83203125" style="13" bestFit="1" customWidth="1"/>
    <col min="7" max="7" width="15.6640625" style="13" bestFit="1" customWidth="1"/>
    <col min="8" max="8" width="12.6640625" style="9"/>
  </cols>
  <sheetData>
    <row r="1" spans="1:8" ht="30" customHeight="1" x14ac:dyDescent="0.15">
      <c r="A1" s="30" t="s">
        <v>0</v>
      </c>
      <c r="B1" s="30" t="s">
        <v>1</v>
      </c>
      <c r="C1" s="30" t="s">
        <v>2</v>
      </c>
      <c r="D1" s="30" t="s">
        <v>3</v>
      </c>
      <c r="E1" s="30" t="s">
        <v>3</v>
      </c>
      <c r="F1" s="30" t="s">
        <v>283</v>
      </c>
      <c r="G1" s="30" t="s">
        <v>4</v>
      </c>
      <c r="H1" s="30" t="s">
        <v>5</v>
      </c>
    </row>
    <row r="2" spans="1:8" ht="15.75" customHeight="1" x14ac:dyDescent="0.15">
      <c r="A2" s="10" t="s">
        <v>6</v>
      </c>
      <c r="B2" s="10">
        <v>1</v>
      </c>
      <c r="C2" s="10" t="s">
        <v>7</v>
      </c>
      <c r="D2" s="10" t="s">
        <v>8</v>
      </c>
      <c r="E2" s="10" t="s">
        <v>105</v>
      </c>
      <c r="F2" s="10" t="s">
        <v>106</v>
      </c>
      <c r="G2" s="10" t="s">
        <v>9</v>
      </c>
      <c r="H2" s="7">
        <v>3</v>
      </c>
    </row>
    <row r="3" spans="1:8" ht="15.75" customHeight="1" x14ac:dyDescent="0.15">
      <c r="A3" s="10" t="s">
        <v>6</v>
      </c>
      <c r="B3" s="10">
        <v>2</v>
      </c>
      <c r="C3" s="10" t="s">
        <v>7</v>
      </c>
      <c r="D3" s="10" t="s">
        <v>10</v>
      </c>
      <c r="E3" s="10" t="s">
        <v>107</v>
      </c>
      <c r="F3" s="10" t="s">
        <v>156</v>
      </c>
      <c r="G3" s="10" t="s">
        <v>9</v>
      </c>
      <c r="H3" s="7">
        <v>3</v>
      </c>
    </row>
    <row r="4" spans="1:8" ht="15.75" customHeight="1" x14ac:dyDescent="0.15">
      <c r="A4" s="10" t="s">
        <v>6</v>
      </c>
      <c r="B4" s="10">
        <v>3</v>
      </c>
      <c r="C4" s="10" t="s">
        <v>7</v>
      </c>
      <c r="D4" s="10" t="s">
        <v>11</v>
      </c>
      <c r="E4" s="10" t="s">
        <v>108</v>
      </c>
      <c r="F4" s="10" t="s">
        <v>157</v>
      </c>
      <c r="G4" s="10" t="s">
        <v>9</v>
      </c>
      <c r="H4" s="7">
        <v>3</v>
      </c>
    </row>
    <row r="5" spans="1:8" ht="15.75" customHeight="1" x14ac:dyDescent="0.15">
      <c r="A5" s="10" t="s">
        <v>6</v>
      </c>
      <c r="B5" s="10">
        <v>4</v>
      </c>
      <c r="C5" s="10" t="s">
        <v>12</v>
      </c>
      <c r="D5" s="10" t="s">
        <v>13</v>
      </c>
      <c r="E5" s="10" t="s">
        <v>109</v>
      </c>
      <c r="F5" s="10" t="s">
        <v>158</v>
      </c>
      <c r="G5" s="10" t="s">
        <v>14</v>
      </c>
      <c r="H5" s="7">
        <v>2</v>
      </c>
    </row>
    <row r="6" spans="1:8" ht="15.75" customHeight="1" x14ac:dyDescent="0.15">
      <c r="A6" s="10" t="s">
        <v>6</v>
      </c>
      <c r="B6" s="10">
        <v>5</v>
      </c>
      <c r="C6" s="10" t="s">
        <v>15</v>
      </c>
      <c r="D6" s="10" t="s">
        <v>16</v>
      </c>
      <c r="E6" s="10" t="s">
        <v>110</v>
      </c>
      <c r="F6" s="10" t="s">
        <v>159</v>
      </c>
      <c r="G6" s="10" t="s">
        <v>9</v>
      </c>
      <c r="H6" s="7">
        <v>3</v>
      </c>
    </row>
    <row r="7" spans="1:8" ht="15.75" customHeight="1" x14ac:dyDescent="0.15">
      <c r="A7" s="10" t="s">
        <v>6</v>
      </c>
      <c r="B7" s="10">
        <v>6</v>
      </c>
      <c r="C7" s="10" t="s">
        <v>17</v>
      </c>
      <c r="D7" s="10" t="s">
        <v>18</v>
      </c>
      <c r="E7" s="10" t="s">
        <v>111</v>
      </c>
      <c r="F7" s="10" t="s">
        <v>160</v>
      </c>
      <c r="G7" s="10" t="s">
        <v>14</v>
      </c>
      <c r="H7" s="7">
        <v>3</v>
      </c>
    </row>
    <row r="8" spans="1:8" ht="15.75" customHeight="1" x14ac:dyDescent="0.15">
      <c r="A8" s="10" t="s">
        <v>6</v>
      </c>
      <c r="B8" s="10">
        <v>7</v>
      </c>
      <c r="C8" s="10" t="s">
        <v>19</v>
      </c>
      <c r="D8" s="10" t="s">
        <v>20</v>
      </c>
      <c r="E8" s="10" t="s">
        <v>112</v>
      </c>
      <c r="F8" s="10" t="s">
        <v>161</v>
      </c>
      <c r="G8" s="10" t="s">
        <v>9</v>
      </c>
      <c r="H8" s="7">
        <v>2</v>
      </c>
    </row>
    <row r="9" spans="1:8" ht="15.75" customHeight="1" x14ac:dyDescent="0.15">
      <c r="A9" s="11" t="s">
        <v>21</v>
      </c>
      <c r="B9" s="11">
        <v>1</v>
      </c>
      <c r="C9" s="11" t="s">
        <v>22</v>
      </c>
      <c r="D9" s="11" t="s">
        <v>23</v>
      </c>
      <c r="E9" s="11" t="s">
        <v>113</v>
      </c>
      <c r="F9" s="11" t="s">
        <v>162</v>
      </c>
      <c r="G9" s="11" t="s">
        <v>24</v>
      </c>
      <c r="H9" s="8">
        <v>2</v>
      </c>
    </row>
    <row r="10" spans="1:8" ht="15.75" customHeight="1" x14ac:dyDescent="0.15">
      <c r="A10" s="11" t="s">
        <v>21</v>
      </c>
      <c r="B10" s="11">
        <v>2</v>
      </c>
      <c r="C10" s="11" t="s">
        <v>25</v>
      </c>
      <c r="D10" s="11" t="s">
        <v>26</v>
      </c>
      <c r="E10" s="11" t="s">
        <v>114</v>
      </c>
      <c r="F10" s="11" t="s">
        <v>163</v>
      </c>
      <c r="G10" s="11" t="s">
        <v>14</v>
      </c>
      <c r="H10" s="8">
        <v>3</v>
      </c>
    </row>
    <row r="11" spans="1:8" ht="15.75" customHeight="1" x14ac:dyDescent="0.15">
      <c r="A11" s="11" t="s">
        <v>21</v>
      </c>
      <c r="B11" s="11">
        <v>3</v>
      </c>
      <c r="C11" s="11" t="s">
        <v>27</v>
      </c>
      <c r="D11" s="11" t="s">
        <v>28</v>
      </c>
      <c r="E11" s="11" t="s">
        <v>115</v>
      </c>
      <c r="F11" s="11" t="s">
        <v>164</v>
      </c>
      <c r="G11" s="11" t="s">
        <v>14</v>
      </c>
      <c r="H11" s="8">
        <v>3</v>
      </c>
    </row>
    <row r="12" spans="1:8" ht="15.75" customHeight="1" x14ac:dyDescent="0.15">
      <c r="A12" s="11" t="s">
        <v>21</v>
      </c>
      <c r="B12" s="11">
        <v>4</v>
      </c>
      <c r="C12" s="11" t="s">
        <v>29</v>
      </c>
      <c r="D12" s="11" t="s">
        <v>30</v>
      </c>
      <c r="E12" s="11" t="s">
        <v>116</v>
      </c>
      <c r="F12" s="11" t="s">
        <v>165</v>
      </c>
      <c r="G12" s="11" t="s">
        <v>9</v>
      </c>
      <c r="H12" s="8">
        <v>3</v>
      </c>
    </row>
    <row r="13" spans="1:8" ht="15.75" customHeight="1" x14ac:dyDescent="0.15">
      <c r="A13" s="11" t="s">
        <v>21</v>
      </c>
      <c r="B13" s="11">
        <v>5</v>
      </c>
      <c r="C13" s="11" t="s">
        <v>31</v>
      </c>
      <c r="D13" s="11" t="s">
        <v>32</v>
      </c>
      <c r="E13" s="11" t="s">
        <v>117</v>
      </c>
      <c r="F13" s="11" t="s">
        <v>166</v>
      </c>
      <c r="G13" s="11" t="s">
        <v>14</v>
      </c>
      <c r="H13" s="8">
        <v>1</v>
      </c>
    </row>
    <row r="14" spans="1:8" ht="15.75" customHeight="1" x14ac:dyDescent="0.15">
      <c r="A14" s="11" t="s">
        <v>21</v>
      </c>
      <c r="B14" s="11">
        <v>6</v>
      </c>
      <c r="C14" s="11" t="s">
        <v>33</v>
      </c>
      <c r="D14" s="11" t="s">
        <v>34</v>
      </c>
      <c r="E14" s="11" t="s">
        <v>118</v>
      </c>
      <c r="F14" s="11" t="s">
        <v>167</v>
      </c>
      <c r="G14" s="11" t="s">
        <v>9</v>
      </c>
      <c r="H14" s="8">
        <v>2</v>
      </c>
    </row>
    <row r="15" spans="1:8" ht="15.75" customHeight="1" x14ac:dyDescent="0.15">
      <c r="A15" s="11" t="s">
        <v>21</v>
      </c>
      <c r="B15" s="11">
        <v>7</v>
      </c>
      <c r="C15" s="11" t="s">
        <v>22</v>
      </c>
      <c r="D15" s="11" t="s">
        <v>35</v>
      </c>
      <c r="E15" s="11" t="s">
        <v>119</v>
      </c>
      <c r="F15" s="11" t="s">
        <v>168</v>
      </c>
      <c r="G15" s="11" t="s">
        <v>24</v>
      </c>
      <c r="H15" s="8">
        <v>3</v>
      </c>
    </row>
    <row r="16" spans="1:8" ht="15.75" customHeight="1" x14ac:dyDescent="0.15">
      <c r="A16" s="11" t="s">
        <v>21</v>
      </c>
      <c r="B16" s="11">
        <v>8</v>
      </c>
      <c r="C16" s="11" t="s">
        <v>36</v>
      </c>
      <c r="D16" s="11" t="s">
        <v>37</v>
      </c>
      <c r="E16" s="11" t="s">
        <v>120</v>
      </c>
      <c r="F16" s="11" t="s">
        <v>169</v>
      </c>
      <c r="G16" s="11" t="s">
        <v>14</v>
      </c>
      <c r="H16" s="8">
        <v>3</v>
      </c>
    </row>
    <row r="17" spans="1:8" ht="15.75" customHeight="1" x14ac:dyDescent="0.15">
      <c r="A17" s="10" t="s">
        <v>38</v>
      </c>
      <c r="B17" s="10">
        <v>1</v>
      </c>
      <c r="C17" s="10" t="s">
        <v>39</v>
      </c>
      <c r="D17" s="10" t="s">
        <v>40</v>
      </c>
      <c r="E17" s="10" t="s">
        <v>121</v>
      </c>
      <c r="F17" s="10" t="s">
        <v>170</v>
      </c>
      <c r="G17" s="10" t="s">
        <v>14</v>
      </c>
      <c r="H17" s="7">
        <v>3</v>
      </c>
    </row>
    <row r="18" spans="1:8" ht="15.75" customHeight="1" x14ac:dyDescent="0.15">
      <c r="A18" s="10" t="s">
        <v>38</v>
      </c>
      <c r="B18" s="10">
        <v>2</v>
      </c>
      <c r="C18" s="10" t="s">
        <v>41</v>
      </c>
      <c r="D18" s="10" t="s">
        <v>42</v>
      </c>
      <c r="E18" s="10" t="s">
        <v>122</v>
      </c>
      <c r="F18" s="10" t="s">
        <v>171</v>
      </c>
      <c r="G18" s="10" t="s">
        <v>14</v>
      </c>
      <c r="H18" s="7">
        <v>3</v>
      </c>
    </row>
    <row r="19" spans="1:8" ht="15.75" customHeight="1" x14ac:dyDescent="0.15">
      <c r="A19" s="10" t="s">
        <v>38</v>
      </c>
      <c r="B19" s="10">
        <v>3</v>
      </c>
      <c r="C19" s="10" t="s">
        <v>43</v>
      </c>
      <c r="D19" s="10" t="s">
        <v>44</v>
      </c>
      <c r="E19" s="10" t="s">
        <v>123</v>
      </c>
      <c r="F19" s="10" t="s">
        <v>172</v>
      </c>
      <c r="G19" s="10" t="s">
        <v>14</v>
      </c>
      <c r="H19" s="7">
        <v>3</v>
      </c>
    </row>
    <row r="20" spans="1:8" ht="15.75" customHeight="1" x14ac:dyDescent="0.15">
      <c r="A20" s="10" t="s">
        <v>38</v>
      </c>
      <c r="B20" s="10">
        <v>4</v>
      </c>
      <c r="C20" s="10" t="s">
        <v>45</v>
      </c>
      <c r="D20" s="10" t="s">
        <v>46</v>
      </c>
      <c r="E20" s="10" t="s">
        <v>124</v>
      </c>
      <c r="F20" s="10" t="s">
        <v>173</v>
      </c>
      <c r="G20" s="10" t="s">
        <v>14</v>
      </c>
      <c r="H20" s="7">
        <v>3</v>
      </c>
    </row>
    <row r="21" spans="1:8" ht="15.75" customHeight="1" x14ac:dyDescent="0.15">
      <c r="A21" s="10" t="s">
        <v>38</v>
      </c>
      <c r="B21" s="10">
        <v>5</v>
      </c>
      <c r="C21" s="10" t="s">
        <v>47</v>
      </c>
      <c r="D21" s="10" t="s">
        <v>48</v>
      </c>
      <c r="E21" s="10" t="s">
        <v>125</v>
      </c>
      <c r="F21" s="10" t="s">
        <v>174</v>
      </c>
      <c r="G21" s="10" t="s">
        <v>14</v>
      </c>
      <c r="H21" s="7">
        <v>3</v>
      </c>
    </row>
    <row r="22" spans="1:8" ht="15.75" customHeight="1" x14ac:dyDescent="0.15">
      <c r="A22" s="10" t="s">
        <v>38</v>
      </c>
      <c r="B22" s="10">
        <v>6</v>
      </c>
      <c r="C22" s="10" t="s">
        <v>49</v>
      </c>
      <c r="D22" s="10" t="s">
        <v>50</v>
      </c>
      <c r="E22" s="10" t="s">
        <v>126</v>
      </c>
      <c r="F22" s="10" t="s">
        <v>175</v>
      </c>
      <c r="G22" s="10" t="s">
        <v>9</v>
      </c>
      <c r="H22" s="7">
        <v>3</v>
      </c>
    </row>
    <row r="23" spans="1:8" ht="15.75" customHeight="1" x14ac:dyDescent="0.15">
      <c r="A23" s="10" t="s">
        <v>38</v>
      </c>
      <c r="B23" s="10">
        <v>7</v>
      </c>
      <c r="C23" s="10" t="s">
        <v>51</v>
      </c>
      <c r="D23" s="10" t="s">
        <v>52</v>
      </c>
      <c r="E23" s="10" t="s">
        <v>127</v>
      </c>
      <c r="F23" s="10" t="s">
        <v>176</v>
      </c>
      <c r="G23" s="10" t="s">
        <v>9</v>
      </c>
      <c r="H23" s="7">
        <v>1</v>
      </c>
    </row>
    <row r="24" spans="1:8" ht="15.75" customHeight="1" x14ac:dyDescent="0.15">
      <c r="A24" s="10" t="s">
        <v>38</v>
      </c>
      <c r="B24" s="10">
        <v>8</v>
      </c>
      <c r="C24" s="10" t="s">
        <v>53</v>
      </c>
      <c r="D24" s="10" t="s">
        <v>54</v>
      </c>
      <c r="E24" s="10" t="s">
        <v>128</v>
      </c>
      <c r="F24" s="10" t="s">
        <v>177</v>
      </c>
      <c r="G24" s="10" t="s">
        <v>14</v>
      </c>
      <c r="H24" s="7">
        <v>2</v>
      </c>
    </row>
    <row r="25" spans="1:8" ht="15.75" customHeight="1" x14ac:dyDescent="0.15">
      <c r="A25" s="11" t="s">
        <v>55</v>
      </c>
      <c r="B25" s="11">
        <v>1</v>
      </c>
      <c r="C25" s="11" t="s">
        <v>56</v>
      </c>
      <c r="D25" s="11" t="s">
        <v>57</v>
      </c>
      <c r="E25" s="11" t="s">
        <v>129</v>
      </c>
      <c r="F25" s="11" t="s">
        <v>178</v>
      </c>
      <c r="G25" s="11" t="s">
        <v>14</v>
      </c>
      <c r="H25" s="8">
        <v>2</v>
      </c>
    </row>
    <row r="26" spans="1:8" ht="15.75" customHeight="1" x14ac:dyDescent="0.15">
      <c r="A26" s="11" t="s">
        <v>55</v>
      </c>
      <c r="B26" s="11">
        <v>2</v>
      </c>
      <c r="C26" s="11" t="s">
        <v>22</v>
      </c>
      <c r="D26" s="11" t="s">
        <v>58</v>
      </c>
      <c r="E26" s="11" t="s">
        <v>130</v>
      </c>
      <c r="F26" s="11" t="s">
        <v>179</v>
      </c>
      <c r="G26" s="11" t="s">
        <v>24</v>
      </c>
      <c r="H26" s="8">
        <v>2</v>
      </c>
    </row>
    <row r="27" spans="1:8" ht="15.75" customHeight="1" x14ac:dyDescent="0.15">
      <c r="A27" s="11" t="s">
        <v>55</v>
      </c>
      <c r="B27" s="11">
        <v>3</v>
      </c>
      <c r="C27" s="11" t="s">
        <v>59</v>
      </c>
      <c r="D27" s="11" t="s">
        <v>60</v>
      </c>
      <c r="E27" s="11" t="s">
        <v>131</v>
      </c>
      <c r="F27" s="11" t="s">
        <v>180</v>
      </c>
      <c r="G27" s="11" t="s">
        <v>14</v>
      </c>
      <c r="H27" s="8">
        <v>3</v>
      </c>
    </row>
    <row r="28" spans="1:8" ht="15.75" customHeight="1" x14ac:dyDescent="0.15">
      <c r="A28" s="11" t="s">
        <v>55</v>
      </c>
      <c r="B28" s="11">
        <v>4</v>
      </c>
      <c r="C28" s="11" t="s">
        <v>61</v>
      </c>
      <c r="D28" s="11" t="s">
        <v>62</v>
      </c>
      <c r="E28" s="11" t="s">
        <v>132</v>
      </c>
      <c r="F28" s="11" t="s">
        <v>181</v>
      </c>
      <c r="G28" s="11" t="s">
        <v>14</v>
      </c>
      <c r="H28" s="8">
        <v>2</v>
      </c>
    </row>
    <row r="29" spans="1:8" ht="15.75" customHeight="1" x14ac:dyDescent="0.15">
      <c r="A29" s="11" t="s">
        <v>55</v>
      </c>
      <c r="B29" s="11">
        <v>5</v>
      </c>
      <c r="C29" s="11" t="s">
        <v>63</v>
      </c>
      <c r="D29" s="11" t="s">
        <v>64</v>
      </c>
      <c r="E29" s="11" t="s">
        <v>133</v>
      </c>
      <c r="F29" s="11" t="s">
        <v>182</v>
      </c>
      <c r="G29" s="11" t="s">
        <v>14</v>
      </c>
      <c r="H29" s="8">
        <v>3</v>
      </c>
    </row>
    <row r="30" spans="1:8" ht="15.75" customHeight="1" x14ac:dyDescent="0.15">
      <c r="A30" s="11" t="s">
        <v>55</v>
      </c>
      <c r="B30" s="11">
        <v>6</v>
      </c>
      <c r="C30" s="11" t="s">
        <v>65</v>
      </c>
      <c r="D30" s="11" t="s">
        <v>66</v>
      </c>
      <c r="E30" s="11" t="s">
        <v>134</v>
      </c>
      <c r="F30" s="11" t="s">
        <v>183</v>
      </c>
      <c r="G30" s="11" t="s">
        <v>14</v>
      </c>
      <c r="H30" s="8">
        <v>3</v>
      </c>
    </row>
    <row r="31" spans="1:8" ht="15.75" customHeight="1" x14ac:dyDescent="0.15">
      <c r="A31" s="11" t="s">
        <v>55</v>
      </c>
      <c r="B31" s="11">
        <v>7</v>
      </c>
      <c r="C31" s="11" t="s">
        <v>67</v>
      </c>
      <c r="D31" s="11" t="s">
        <v>68</v>
      </c>
      <c r="E31" s="11" t="s">
        <v>135</v>
      </c>
      <c r="F31" s="11" t="s">
        <v>184</v>
      </c>
      <c r="G31" s="11" t="s">
        <v>14</v>
      </c>
      <c r="H31" s="8">
        <v>3</v>
      </c>
    </row>
    <row r="32" spans="1:8" ht="15.75" customHeight="1" x14ac:dyDescent="0.15">
      <c r="A32" s="11" t="s">
        <v>55</v>
      </c>
      <c r="B32" s="11">
        <v>8</v>
      </c>
      <c r="C32" s="11" t="s">
        <v>69</v>
      </c>
      <c r="D32" s="11" t="s">
        <v>70</v>
      </c>
      <c r="E32" s="11" t="s">
        <v>136</v>
      </c>
      <c r="F32" s="11" t="s">
        <v>185</v>
      </c>
      <c r="G32" s="11" t="s">
        <v>14</v>
      </c>
      <c r="H32" s="8">
        <v>2</v>
      </c>
    </row>
    <row r="33" spans="1:8" ht="15.75" customHeight="1" x14ac:dyDescent="0.15">
      <c r="A33" s="10" t="s">
        <v>71</v>
      </c>
      <c r="B33" s="10">
        <v>1</v>
      </c>
      <c r="C33" s="10" t="s">
        <v>22</v>
      </c>
      <c r="D33" s="10" t="s">
        <v>72</v>
      </c>
      <c r="E33" s="10" t="s">
        <v>137</v>
      </c>
      <c r="F33" s="10" t="s">
        <v>137</v>
      </c>
      <c r="G33" s="10" t="s">
        <v>24</v>
      </c>
      <c r="H33" s="7">
        <v>2</v>
      </c>
    </row>
    <row r="34" spans="1:8" ht="15.75" customHeight="1" x14ac:dyDescent="0.15">
      <c r="A34" s="10" t="s">
        <v>71</v>
      </c>
      <c r="B34" s="10">
        <v>2</v>
      </c>
      <c r="C34" s="10" t="s">
        <v>73</v>
      </c>
      <c r="D34" s="10" t="s">
        <v>74</v>
      </c>
      <c r="E34" s="10" t="s">
        <v>138</v>
      </c>
      <c r="F34" s="10" t="s">
        <v>186</v>
      </c>
      <c r="G34" s="10" t="s">
        <v>14</v>
      </c>
      <c r="H34" s="7">
        <v>3</v>
      </c>
    </row>
    <row r="35" spans="1:8" ht="15.75" customHeight="1" x14ac:dyDescent="0.15">
      <c r="A35" s="10" t="s">
        <v>71</v>
      </c>
      <c r="B35" s="10">
        <v>3</v>
      </c>
      <c r="C35" s="10" t="s">
        <v>75</v>
      </c>
      <c r="D35" s="10" t="s">
        <v>76</v>
      </c>
      <c r="E35" s="10" t="s">
        <v>139</v>
      </c>
      <c r="F35" s="10" t="s">
        <v>187</v>
      </c>
      <c r="G35" s="10" t="s">
        <v>14</v>
      </c>
      <c r="H35" s="7">
        <v>3</v>
      </c>
    </row>
    <row r="36" spans="1:8" ht="15.75" customHeight="1" x14ac:dyDescent="0.15">
      <c r="A36" s="10" t="s">
        <v>71</v>
      </c>
      <c r="B36" s="10">
        <v>4</v>
      </c>
      <c r="C36" s="10" t="s">
        <v>77</v>
      </c>
      <c r="D36" s="10" t="s">
        <v>78</v>
      </c>
      <c r="E36" s="10" t="s">
        <v>140</v>
      </c>
      <c r="F36" s="10" t="s">
        <v>188</v>
      </c>
      <c r="G36" s="10" t="s">
        <v>14</v>
      </c>
      <c r="H36" s="7">
        <v>2</v>
      </c>
    </row>
    <row r="37" spans="1:8" ht="15.75" customHeight="1" x14ac:dyDescent="0.15">
      <c r="A37" s="10" t="s">
        <v>71</v>
      </c>
      <c r="B37" s="10">
        <v>5</v>
      </c>
      <c r="C37" s="10" t="s">
        <v>22</v>
      </c>
      <c r="D37" s="10" t="s">
        <v>79</v>
      </c>
      <c r="E37" s="10" t="s">
        <v>141</v>
      </c>
      <c r="F37" s="10" t="s">
        <v>189</v>
      </c>
      <c r="G37" s="10" t="s">
        <v>24</v>
      </c>
      <c r="H37" s="7">
        <v>2</v>
      </c>
    </row>
    <row r="38" spans="1:8" ht="15.75" customHeight="1" x14ac:dyDescent="0.15">
      <c r="A38" s="10" t="s">
        <v>71</v>
      </c>
      <c r="B38" s="10">
        <v>6</v>
      </c>
      <c r="C38" s="10" t="s">
        <v>22</v>
      </c>
      <c r="D38" s="10" t="s">
        <v>80</v>
      </c>
      <c r="E38" s="10" t="s">
        <v>142</v>
      </c>
      <c r="F38" s="10" t="s">
        <v>142</v>
      </c>
      <c r="G38" s="10" t="s">
        <v>24</v>
      </c>
      <c r="H38" s="7">
        <v>2</v>
      </c>
    </row>
    <row r="39" spans="1:8" ht="15.75" customHeight="1" x14ac:dyDescent="0.15">
      <c r="A39" s="10" t="s">
        <v>71</v>
      </c>
      <c r="B39" s="10">
        <v>7</v>
      </c>
      <c r="C39" s="10" t="s">
        <v>81</v>
      </c>
      <c r="D39" s="10" t="s">
        <v>82</v>
      </c>
      <c r="E39" s="10" t="s">
        <v>143</v>
      </c>
      <c r="F39" s="10" t="s">
        <v>190</v>
      </c>
      <c r="G39" s="10" t="s">
        <v>14</v>
      </c>
      <c r="H39" s="7">
        <v>3</v>
      </c>
    </row>
    <row r="40" spans="1:8" ht="15.75" customHeight="1" x14ac:dyDescent="0.15">
      <c r="A40" s="10" t="s">
        <v>71</v>
      </c>
      <c r="B40" s="10">
        <v>8</v>
      </c>
      <c r="C40" s="10" t="s">
        <v>83</v>
      </c>
      <c r="D40" s="10" t="s">
        <v>84</v>
      </c>
      <c r="E40" s="10" t="s">
        <v>144</v>
      </c>
      <c r="F40" s="10" t="s">
        <v>191</v>
      </c>
      <c r="G40" s="10" t="s">
        <v>14</v>
      </c>
      <c r="H40" s="7">
        <v>3</v>
      </c>
    </row>
    <row r="41" spans="1:8" ht="15.75" customHeight="1" x14ac:dyDescent="0.15">
      <c r="A41" s="11" t="s">
        <v>85</v>
      </c>
      <c r="B41" s="11">
        <v>1</v>
      </c>
      <c r="C41" s="12"/>
      <c r="D41" s="11" t="s">
        <v>86</v>
      </c>
      <c r="E41" s="11" t="s">
        <v>145</v>
      </c>
      <c r="F41" s="11" t="s">
        <v>192</v>
      </c>
      <c r="G41" s="11" t="s">
        <v>14</v>
      </c>
      <c r="H41" s="8">
        <v>20</v>
      </c>
    </row>
    <row r="42" spans="1:8" ht="15.75" customHeight="1" x14ac:dyDescent="0.15">
      <c r="A42" s="10" t="s">
        <v>87</v>
      </c>
      <c r="B42" s="10">
        <v>1</v>
      </c>
      <c r="C42" s="10" t="s">
        <v>22</v>
      </c>
      <c r="D42" s="10" t="s">
        <v>88</v>
      </c>
      <c r="E42" s="10" t="s">
        <v>146</v>
      </c>
      <c r="F42" s="10" t="s">
        <v>193</v>
      </c>
      <c r="G42" s="10" t="s">
        <v>24</v>
      </c>
      <c r="H42" s="7">
        <v>2</v>
      </c>
    </row>
    <row r="43" spans="1:8" ht="15.75" customHeight="1" x14ac:dyDescent="0.15">
      <c r="A43" s="10" t="s">
        <v>87</v>
      </c>
      <c r="B43" s="10">
        <v>2</v>
      </c>
      <c r="C43" s="10" t="s">
        <v>89</v>
      </c>
      <c r="D43" s="10" t="s">
        <v>90</v>
      </c>
      <c r="E43" s="10" t="s">
        <v>147</v>
      </c>
      <c r="F43" s="10" t="s">
        <v>194</v>
      </c>
      <c r="G43" s="10" t="s">
        <v>14</v>
      </c>
      <c r="H43" s="7">
        <v>3</v>
      </c>
    </row>
    <row r="44" spans="1:8" ht="15.75" customHeight="1" x14ac:dyDescent="0.15">
      <c r="A44" s="10" t="s">
        <v>87</v>
      </c>
      <c r="B44" s="10">
        <v>3</v>
      </c>
      <c r="C44" s="10" t="s">
        <v>91</v>
      </c>
      <c r="D44" s="10" t="s">
        <v>92</v>
      </c>
      <c r="E44" s="10" t="s">
        <v>148</v>
      </c>
      <c r="F44" s="10" t="s">
        <v>195</v>
      </c>
      <c r="G44" s="10" t="s">
        <v>14</v>
      </c>
      <c r="H44" s="7">
        <v>2</v>
      </c>
    </row>
    <row r="45" spans="1:8" ht="15.75" customHeight="1" x14ac:dyDescent="0.15">
      <c r="A45" s="10" t="s">
        <v>87</v>
      </c>
      <c r="B45" s="10">
        <v>4</v>
      </c>
      <c r="C45" s="10" t="s">
        <v>22</v>
      </c>
      <c r="D45" s="10" t="s">
        <v>93</v>
      </c>
      <c r="E45" s="10" t="s">
        <v>149</v>
      </c>
      <c r="F45" s="10" t="s">
        <v>196</v>
      </c>
      <c r="G45" s="10" t="s">
        <v>24</v>
      </c>
      <c r="H45" s="7">
        <v>2</v>
      </c>
    </row>
    <row r="46" spans="1:8" ht="15.75" customHeight="1" x14ac:dyDescent="0.15">
      <c r="A46" s="10" t="s">
        <v>87</v>
      </c>
      <c r="B46" s="10">
        <v>5</v>
      </c>
      <c r="C46" s="10" t="s">
        <v>22</v>
      </c>
      <c r="D46" s="10" t="s">
        <v>94</v>
      </c>
      <c r="E46" s="10" t="s">
        <v>150</v>
      </c>
      <c r="F46" s="10" t="s">
        <v>197</v>
      </c>
      <c r="G46" s="10" t="s">
        <v>24</v>
      </c>
      <c r="H46" s="7">
        <v>4</v>
      </c>
    </row>
    <row r="47" spans="1:8" ht="15.75" customHeight="1" x14ac:dyDescent="0.15">
      <c r="A47" s="10" t="s">
        <v>87</v>
      </c>
      <c r="B47" s="10">
        <v>6</v>
      </c>
      <c r="C47" s="10" t="s">
        <v>22</v>
      </c>
      <c r="D47" s="10" t="s">
        <v>95</v>
      </c>
      <c r="E47" s="10" t="s">
        <v>151</v>
      </c>
      <c r="F47" s="10" t="s">
        <v>198</v>
      </c>
      <c r="G47" s="10" t="s">
        <v>24</v>
      </c>
      <c r="H47" s="7">
        <v>2</v>
      </c>
    </row>
    <row r="48" spans="1:8" ht="15.75" customHeight="1" x14ac:dyDescent="0.15">
      <c r="A48" s="10" t="s">
        <v>87</v>
      </c>
      <c r="B48" s="10">
        <v>7</v>
      </c>
      <c r="C48" s="10" t="s">
        <v>96</v>
      </c>
      <c r="D48" s="10" t="s">
        <v>97</v>
      </c>
      <c r="E48" s="10" t="s">
        <v>152</v>
      </c>
      <c r="F48" s="10" t="s">
        <v>199</v>
      </c>
      <c r="G48" s="10" t="s">
        <v>14</v>
      </c>
      <c r="H48" s="7">
        <v>3</v>
      </c>
    </row>
    <row r="49" spans="1:8" ht="15.75" customHeight="1" x14ac:dyDescent="0.15">
      <c r="A49" s="10" t="s">
        <v>87</v>
      </c>
      <c r="B49" s="10">
        <v>8</v>
      </c>
      <c r="C49" s="10" t="s">
        <v>98</v>
      </c>
      <c r="D49" s="10" t="s">
        <v>99</v>
      </c>
      <c r="E49" s="10" t="s">
        <v>153</v>
      </c>
      <c r="F49" s="10" t="s">
        <v>200</v>
      </c>
      <c r="G49" s="10" t="s">
        <v>14</v>
      </c>
      <c r="H49" s="7">
        <v>2</v>
      </c>
    </row>
    <row r="50" spans="1:8" ht="15.75" customHeight="1" x14ac:dyDescent="0.15">
      <c r="A50" s="11" t="s">
        <v>100</v>
      </c>
      <c r="B50" s="11">
        <v>1</v>
      </c>
      <c r="C50" s="11" t="s">
        <v>101</v>
      </c>
      <c r="D50" s="11" t="s">
        <v>102</v>
      </c>
      <c r="E50" s="11" t="s">
        <v>154</v>
      </c>
      <c r="F50" s="11" t="s">
        <v>201</v>
      </c>
      <c r="G50" s="11" t="s">
        <v>14</v>
      </c>
      <c r="H50" s="8">
        <v>2</v>
      </c>
    </row>
    <row r="51" spans="1:8" ht="13" x14ac:dyDescent="0.15">
      <c r="A51" s="11" t="s">
        <v>100</v>
      </c>
      <c r="B51" s="11">
        <v>2</v>
      </c>
      <c r="C51" s="11" t="s">
        <v>103</v>
      </c>
      <c r="D51" s="11" t="s">
        <v>104</v>
      </c>
      <c r="E51" s="11" t="s">
        <v>155</v>
      </c>
      <c r="F51" s="11" t="s">
        <v>155</v>
      </c>
      <c r="G51" s="11" t="s">
        <v>14</v>
      </c>
      <c r="H51" s="8">
        <v>2</v>
      </c>
    </row>
    <row r="56" spans="1:8" ht="28" customHeight="1" x14ac:dyDescent="0.15">
      <c r="A56" s="30" t="s">
        <v>228</v>
      </c>
      <c r="B56" s="30" t="s">
        <v>1</v>
      </c>
      <c r="C56" s="30" t="s">
        <v>2</v>
      </c>
      <c r="D56" s="30"/>
      <c r="E56" s="30" t="s">
        <v>3</v>
      </c>
      <c r="F56" s="30" t="s">
        <v>283</v>
      </c>
      <c r="G56" s="30" t="s">
        <v>4</v>
      </c>
      <c r="H56" s="30" t="s">
        <v>5</v>
      </c>
    </row>
    <row r="57" spans="1:8" ht="15.75" customHeight="1" x14ac:dyDescent="0.15">
      <c r="A57" s="15" t="s">
        <v>229</v>
      </c>
      <c r="B57" s="16">
        <v>1</v>
      </c>
      <c r="C57" s="16" t="s">
        <v>230</v>
      </c>
      <c r="D57" s="16" t="s">
        <v>202</v>
      </c>
      <c r="E57" s="16" t="s">
        <v>231</v>
      </c>
      <c r="F57" s="16" t="s">
        <v>232</v>
      </c>
      <c r="G57" s="16" t="s">
        <v>14</v>
      </c>
      <c r="H57" s="17">
        <v>3</v>
      </c>
    </row>
    <row r="58" spans="1:8" ht="15.75" customHeight="1" x14ac:dyDescent="0.15">
      <c r="A58" s="15" t="s">
        <v>229</v>
      </c>
      <c r="B58" s="16">
        <v>2</v>
      </c>
      <c r="C58" s="16" t="s">
        <v>233</v>
      </c>
      <c r="D58" s="16" t="s">
        <v>203</v>
      </c>
      <c r="E58" s="16" t="s">
        <v>234</v>
      </c>
      <c r="F58" s="16" t="s">
        <v>235</v>
      </c>
      <c r="G58" s="16" t="s">
        <v>14</v>
      </c>
      <c r="H58" s="17">
        <v>3</v>
      </c>
    </row>
    <row r="59" spans="1:8" ht="15.75" customHeight="1" x14ac:dyDescent="0.15">
      <c r="A59" s="15" t="s">
        <v>229</v>
      </c>
      <c r="B59" s="16">
        <v>3</v>
      </c>
      <c r="C59" s="16" t="s">
        <v>236</v>
      </c>
      <c r="D59" s="16" t="s">
        <v>204</v>
      </c>
      <c r="E59" s="16" t="s">
        <v>237</v>
      </c>
      <c r="F59" s="16" t="s">
        <v>238</v>
      </c>
      <c r="G59" s="16" t="s">
        <v>14</v>
      </c>
      <c r="H59" s="17">
        <v>3</v>
      </c>
    </row>
    <row r="60" spans="1:8" ht="15.75" customHeight="1" x14ac:dyDescent="0.15">
      <c r="A60" s="15" t="s">
        <v>229</v>
      </c>
      <c r="B60" s="16">
        <v>4</v>
      </c>
      <c r="C60" s="16" t="s">
        <v>239</v>
      </c>
      <c r="D60" s="16" t="s">
        <v>205</v>
      </c>
      <c r="E60" s="16" t="s">
        <v>240</v>
      </c>
      <c r="F60" s="16" t="s">
        <v>241</v>
      </c>
      <c r="G60" s="16" t="s">
        <v>14</v>
      </c>
      <c r="H60" s="17">
        <v>3</v>
      </c>
    </row>
    <row r="61" spans="1:8" ht="15.75" customHeight="1" x14ac:dyDescent="0.15">
      <c r="A61" s="15" t="s">
        <v>229</v>
      </c>
      <c r="B61" s="16">
        <v>5</v>
      </c>
      <c r="C61" s="16" t="s">
        <v>242</v>
      </c>
      <c r="D61" s="16" t="s">
        <v>206</v>
      </c>
      <c r="E61" s="16" t="s">
        <v>243</v>
      </c>
      <c r="F61" s="16" t="s">
        <v>244</v>
      </c>
      <c r="G61" s="16" t="s">
        <v>14</v>
      </c>
      <c r="H61" s="17">
        <v>3</v>
      </c>
    </row>
    <row r="62" spans="1:8" ht="15.75" customHeight="1" x14ac:dyDescent="0.15">
      <c r="A62" s="14" t="s">
        <v>229</v>
      </c>
      <c r="B62" s="18">
        <v>6</v>
      </c>
      <c r="C62" s="19"/>
      <c r="D62" s="18" t="s">
        <v>207</v>
      </c>
      <c r="E62" s="18" t="s">
        <v>245</v>
      </c>
      <c r="F62" s="18" t="s">
        <v>246</v>
      </c>
      <c r="G62" s="18" t="s">
        <v>14</v>
      </c>
      <c r="H62" s="20">
        <v>3</v>
      </c>
    </row>
    <row r="63" spans="1:8" ht="15.75" customHeight="1" x14ac:dyDescent="0.15">
      <c r="A63" s="14" t="s">
        <v>229</v>
      </c>
      <c r="B63" s="18">
        <v>7</v>
      </c>
      <c r="C63" s="19"/>
      <c r="D63" s="18" t="s">
        <v>208</v>
      </c>
      <c r="E63" s="18" t="s">
        <v>247</v>
      </c>
      <c r="F63" s="18" t="s">
        <v>248</v>
      </c>
      <c r="G63" s="18" t="s">
        <v>14</v>
      </c>
      <c r="H63" s="20">
        <v>2</v>
      </c>
    </row>
    <row r="64" spans="1:8" ht="15.75" customHeight="1" x14ac:dyDescent="0.15">
      <c r="A64" s="21" t="s">
        <v>249</v>
      </c>
      <c r="B64" s="22">
        <v>1</v>
      </c>
      <c r="C64" s="22" t="s">
        <v>250</v>
      </c>
      <c r="D64" s="22" t="s">
        <v>209</v>
      </c>
      <c r="E64" s="22" t="s">
        <v>251</v>
      </c>
      <c r="F64" s="22" t="s">
        <v>252</v>
      </c>
      <c r="G64" s="22" t="s">
        <v>14</v>
      </c>
      <c r="H64" s="23">
        <v>3</v>
      </c>
    </row>
    <row r="65" spans="1:8" ht="15.75" customHeight="1" x14ac:dyDescent="0.15">
      <c r="A65" s="21" t="s">
        <v>249</v>
      </c>
      <c r="B65" s="22">
        <v>2</v>
      </c>
      <c r="C65" s="22" t="s">
        <v>253</v>
      </c>
      <c r="D65" s="22" t="s">
        <v>210</v>
      </c>
      <c r="E65" s="22" t="s">
        <v>254</v>
      </c>
      <c r="F65" s="22" t="s">
        <v>255</v>
      </c>
      <c r="G65" s="22" t="s">
        <v>14</v>
      </c>
      <c r="H65" s="23">
        <v>3</v>
      </c>
    </row>
    <row r="66" spans="1:8" ht="15.75" customHeight="1" x14ac:dyDescent="0.15">
      <c r="A66" s="21" t="s">
        <v>249</v>
      </c>
      <c r="B66" s="22">
        <v>3</v>
      </c>
      <c r="C66" s="22" t="s">
        <v>256</v>
      </c>
      <c r="D66" s="22" t="s">
        <v>211</v>
      </c>
      <c r="E66" s="22" t="s">
        <v>257</v>
      </c>
      <c r="F66" s="22" t="s">
        <v>258</v>
      </c>
      <c r="G66" s="22" t="s">
        <v>14</v>
      </c>
      <c r="H66" s="23">
        <v>3</v>
      </c>
    </row>
    <row r="67" spans="1:8" ht="15.75" customHeight="1" x14ac:dyDescent="0.15">
      <c r="A67" s="21" t="s">
        <v>249</v>
      </c>
      <c r="B67" s="22">
        <v>4</v>
      </c>
      <c r="C67" s="22" t="s">
        <v>259</v>
      </c>
      <c r="D67" s="22" t="s">
        <v>212</v>
      </c>
      <c r="E67" s="22" t="s">
        <v>260</v>
      </c>
      <c r="F67" s="22" t="s">
        <v>261</v>
      </c>
      <c r="G67" s="22" t="s">
        <v>14</v>
      </c>
      <c r="H67" s="23">
        <v>3</v>
      </c>
    </row>
    <row r="68" spans="1:8" ht="15.75" customHeight="1" x14ac:dyDescent="0.15">
      <c r="A68" s="21" t="s">
        <v>249</v>
      </c>
      <c r="B68" s="22">
        <v>5</v>
      </c>
      <c r="C68" s="22" t="s">
        <v>262</v>
      </c>
      <c r="D68" s="22" t="s">
        <v>213</v>
      </c>
      <c r="E68" s="22" t="s">
        <v>263</v>
      </c>
      <c r="F68" s="22" t="s">
        <v>264</v>
      </c>
      <c r="G68" s="22" t="s">
        <v>14</v>
      </c>
      <c r="H68" s="23">
        <v>3</v>
      </c>
    </row>
    <row r="69" spans="1:8" ht="15.75" customHeight="1" x14ac:dyDescent="0.15">
      <c r="A69" s="14" t="s">
        <v>249</v>
      </c>
      <c r="B69" s="18">
        <v>6</v>
      </c>
      <c r="C69" s="19"/>
      <c r="D69" s="18" t="s">
        <v>207</v>
      </c>
      <c r="E69" s="18" t="s">
        <v>245</v>
      </c>
      <c r="F69" s="18" t="s">
        <v>246</v>
      </c>
      <c r="G69" s="18" t="s">
        <v>14</v>
      </c>
      <c r="H69" s="20">
        <v>3</v>
      </c>
    </row>
    <row r="70" spans="1:8" ht="15.75" customHeight="1" x14ac:dyDescent="0.15">
      <c r="A70" s="14" t="s">
        <v>249</v>
      </c>
      <c r="B70" s="18">
        <v>7</v>
      </c>
      <c r="C70" s="19"/>
      <c r="D70" s="18" t="s">
        <v>208</v>
      </c>
      <c r="E70" s="18" t="s">
        <v>247</v>
      </c>
      <c r="F70" s="18" t="s">
        <v>248</v>
      </c>
      <c r="G70" s="18" t="s">
        <v>14</v>
      </c>
      <c r="H70" s="20">
        <v>2</v>
      </c>
    </row>
    <row r="71" spans="1:8" ht="15.75" customHeight="1" x14ac:dyDescent="0.15">
      <c r="A71" s="24" t="s">
        <v>265</v>
      </c>
      <c r="B71" s="25">
        <v>1</v>
      </c>
      <c r="C71" s="25" t="s">
        <v>266</v>
      </c>
      <c r="D71" s="25" t="s">
        <v>214</v>
      </c>
      <c r="E71" s="25" t="s">
        <v>267</v>
      </c>
      <c r="F71" s="25" t="s">
        <v>268</v>
      </c>
      <c r="G71" s="25" t="s">
        <v>14</v>
      </c>
      <c r="H71" s="26">
        <v>3</v>
      </c>
    </row>
    <row r="72" spans="1:8" ht="15.75" customHeight="1" x14ac:dyDescent="0.15">
      <c r="A72" s="24" t="s">
        <v>265</v>
      </c>
      <c r="B72" s="25">
        <v>2</v>
      </c>
      <c r="C72" s="25" t="s">
        <v>269</v>
      </c>
      <c r="D72" s="25" t="s">
        <v>215</v>
      </c>
      <c r="E72" s="25" t="s">
        <v>270</v>
      </c>
      <c r="F72" s="25" t="s">
        <v>271</v>
      </c>
      <c r="G72" s="25" t="s">
        <v>14</v>
      </c>
      <c r="H72" s="26">
        <v>3</v>
      </c>
    </row>
    <row r="73" spans="1:8" ht="15.75" customHeight="1" x14ac:dyDescent="0.15">
      <c r="A73" s="24" t="s">
        <v>265</v>
      </c>
      <c r="B73" s="25">
        <v>3</v>
      </c>
      <c r="C73" s="25" t="s">
        <v>272</v>
      </c>
      <c r="D73" s="25" t="s">
        <v>216</v>
      </c>
      <c r="E73" s="25" t="s">
        <v>273</v>
      </c>
      <c r="F73" s="25" t="s">
        <v>274</v>
      </c>
      <c r="G73" s="25" t="s">
        <v>14</v>
      </c>
      <c r="H73" s="26">
        <v>3</v>
      </c>
    </row>
    <row r="74" spans="1:8" ht="15.75" customHeight="1" x14ac:dyDescent="0.15">
      <c r="A74" s="24" t="s">
        <v>265</v>
      </c>
      <c r="B74" s="25">
        <v>4</v>
      </c>
      <c r="C74" s="25" t="s">
        <v>275</v>
      </c>
      <c r="D74" s="25" t="s">
        <v>217</v>
      </c>
      <c r="E74" s="25" t="s">
        <v>276</v>
      </c>
      <c r="F74" s="25" t="s">
        <v>277</v>
      </c>
      <c r="G74" s="25" t="s">
        <v>14</v>
      </c>
      <c r="H74" s="26">
        <v>3</v>
      </c>
    </row>
    <row r="75" spans="1:8" ht="15.75" customHeight="1" x14ac:dyDescent="0.15">
      <c r="A75" s="24" t="s">
        <v>265</v>
      </c>
      <c r="B75" s="25">
        <v>5</v>
      </c>
      <c r="C75" s="25" t="s">
        <v>278</v>
      </c>
      <c r="D75" s="25" t="s">
        <v>218</v>
      </c>
      <c r="E75" s="25" t="s">
        <v>279</v>
      </c>
      <c r="F75" s="25" t="s">
        <v>280</v>
      </c>
      <c r="G75" s="25" t="s">
        <v>14</v>
      </c>
      <c r="H75" s="26">
        <v>3</v>
      </c>
    </row>
    <row r="76" spans="1:8" ht="15.75" customHeight="1" x14ac:dyDescent="0.15">
      <c r="A76" s="14" t="s">
        <v>265</v>
      </c>
      <c r="B76" s="18">
        <v>6</v>
      </c>
      <c r="C76" s="19"/>
      <c r="D76" s="18" t="s">
        <v>207</v>
      </c>
      <c r="E76" s="18" t="s">
        <v>245</v>
      </c>
      <c r="F76" s="18" t="s">
        <v>246</v>
      </c>
      <c r="G76" s="18" t="s">
        <v>14</v>
      </c>
      <c r="H76" s="20">
        <v>3</v>
      </c>
    </row>
    <row r="77" spans="1:8" ht="15.75" customHeight="1" x14ac:dyDescent="0.15">
      <c r="A77" s="14" t="s">
        <v>265</v>
      </c>
      <c r="B77" s="18">
        <v>7</v>
      </c>
      <c r="C77" s="19"/>
      <c r="D77" s="18" t="s">
        <v>208</v>
      </c>
      <c r="E77" s="18" t="s">
        <v>247</v>
      </c>
      <c r="F77" s="18" t="s">
        <v>248</v>
      </c>
      <c r="G77" s="18" t="s">
        <v>14</v>
      </c>
      <c r="H77" s="20">
        <v>2</v>
      </c>
    </row>
    <row r="78" spans="1:8" ht="15.75" customHeight="1" x14ac:dyDescent="0.15">
      <c r="A78" s="27" t="s">
        <v>281</v>
      </c>
      <c r="B78" s="11">
        <v>1</v>
      </c>
      <c r="C78" s="12"/>
      <c r="D78" s="11" t="s">
        <v>219</v>
      </c>
      <c r="E78" s="11" t="s">
        <v>219</v>
      </c>
      <c r="F78" s="11" t="s">
        <v>219</v>
      </c>
      <c r="G78" s="11" t="s">
        <v>14</v>
      </c>
      <c r="H78" s="8">
        <v>3</v>
      </c>
    </row>
    <row r="79" spans="1:8" ht="15.75" customHeight="1" x14ac:dyDescent="0.15">
      <c r="A79" s="27" t="s">
        <v>281</v>
      </c>
      <c r="B79" s="11">
        <v>2</v>
      </c>
      <c r="C79" s="12"/>
      <c r="D79" s="11" t="s">
        <v>220</v>
      </c>
      <c r="E79" s="11" t="s">
        <v>220</v>
      </c>
      <c r="F79" s="11" t="s">
        <v>220</v>
      </c>
      <c r="G79" s="11" t="s">
        <v>14</v>
      </c>
      <c r="H79" s="8">
        <v>3</v>
      </c>
    </row>
    <row r="80" spans="1:8" ht="15.75" customHeight="1" x14ac:dyDescent="0.15">
      <c r="A80" s="27" t="s">
        <v>281</v>
      </c>
      <c r="B80" s="11">
        <v>3</v>
      </c>
      <c r="C80" s="12"/>
      <c r="D80" s="11" t="s">
        <v>221</v>
      </c>
      <c r="E80" s="11" t="s">
        <v>221</v>
      </c>
      <c r="F80" s="11" t="s">
        <v>221</v>
      </c>
      <c r="G80" s="11" t="s">
        <v>14</v>
      </c>
      <c r="H80" s="8">
        <v>3</v>
      </c>
    </row>
    <row r="81" spans="1:8" ht="15.75" customHeight="1" x14ac:dyDescent="0.15">
      <c r="A81" s="27" t="s">
        <v>281</v>
      </c>
      <c r="B81" s="11">
        <v>4</v>
      </c>
      <c r="C81" s="12"/>
      <c r="D81" s="11" t="s">
        <v>222</v>
      </c>
      <c r="E81" s="11" t="s">
        <v>222</v>
      </c>
      <c r="F81" s="11" t="s">
        <v>222</v>
      </c>
      <c r="G81" s="11" t="s">
        <v>14</v>
      </c>
      <c r="H81" s="8">
        <v>3</v>
      </c>
    </row>
    <row r="82" spans="1:8" ht="15.75" customHeight="1" x14ac:dyDescent="0.15">
      <c r="A82" s="27" t="s">
        <v>281</v>
      </c>
      <c r="B82" s="11">
        <v>5</v>
      </c>
      <c r="C82" s="12"/>
      <c r="D82" s="11" t="s">
        <v>223</v>
      </c>
      <c r="E82" s="11" t="s">
        <v>223</v>
      </c>
      <c r="F82" s="11" t="s">
        <v>223</v>
      </c>
      <c r="G82" s="11" t="s">
        <v>14</v>
      </c>
      <c r="H82" s="8">
        <v>3</v>
      </c>
    </row>
    <row r="83" spans="1:8" ht="15.75" customHeight="1" x14ac:dyDescent="0.15">
      <c r="A83" s="27" t="s">
        <v>281</v>
      </c>
      <c r="B83" s="11">
        <v>6</v>
      </c>
      <c r="C83" s="12"/>
      <c r="D83" s="11" t="s">
        <v>224</v>
      </c>
      <c r="E83" s="11" t="s">
        <v>224</v>
      </c>
      <c r="F83" s="11" t="s">
        <v>224</v>
      </c>
      <c r="G83" s="11" t="s">
        <v>14</v>
      </c>
      <c r="H83" s="8">
        <v>3</v>
      </c>
    </row>
    <row r="84" spans="1:8" ht="15.75" customHeight="1" x14ac:dyDescent="0.15">
      <c r="A84" s="27" t="s">
        <v>281</v>
      </c>
      <c r="B84" s="11">
        <v>7</v>
      </c>
      <c r="C84" s="12"/>
      <c r="D84" s="11" t="s">
        <v>208</v>
      </c>
      <c r="E84" s="11" t="s">
        <v>247</v>
      </c>
      <c r="F84" s="11" t="s">
        <v>248</v>
      </c>
      <c r="G84" s="11" t="s">
        <v>14</v>
      </c>
      <c r="H84" s="8">
        <v>2</v>
      </c>
    </row>
    <row r="85" spans="1:8" ht="15.75" customHeight="1" x14ac:dyDescent="0.15">
      <c r="A85" s="28" t="s">
        <v>282</v>
      </c>
      <c r="B85" s="10">
        <v>1</v>
      </c>
      <c r="C85" s="29"/>
      <c r="D85" s="10" t="s">
        <v>225</v>
      </c>
      <c r="E85" s="10" t="s">
        <v>225</v>
      </c>
      <c r="F85" s="10" t="s">
        <v>225</v>
      </c>
      <c r="G85" s="10" t="s">
        <v>14</v>
      </c>
      <c r="H85" s="7">
        <v>1</v>
      </c>
    </row>
    <row r="86" spans="1:8" ht="15.75" customHeight="1" x14ac:dyDescent="0.15">
      <c r="A86" s="28" t="s">
        <v>282</v>
      </c>
      <c r="B86" s="10">
        <v>2</v>
      </c>
      <c r="C86" s="29"/>
      <c r="D86" s="10" t="s">
        <v>226</v>
      </c>
      <c r="E86" s="10" t="s">
        <v>226</v>
      </c>
      <c r="F86" s="10" t="s">
        <v>226</v>
      </c>
      <c r="G86" s="10" t="s">
        <v>14</v>
      </c>
      <c r="H86" s="7">
        <v>2</v>
      </c>
    </row>
    <row r="87" spans="1:8" ht="15.75" customHeight="1" x14ac:dyDescent="0.15">
      <c r="A87" s="28" t="s">
        <v>282</v>
      </c>
      <c r="B87" s="10">
        <v>3</v>
      </c>
      <c r="C87" s="29"/>
      <c r="D87" s="10" t="s">
        <v>227</v>
      </c>
      <c r="E87" s="10" t="s">
        <v>227</v>
      </c>
      <c r="F87" s="10" t="s">
        <v>227</v>
      </c>
      <c r="G87" s="10" t="s">
        <v>14</v>
      </c>
      <c r="H87" s="7">
        <v>3</v>
      </c>
    </row>
  </sheetData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E9FBC-09F4-A94B-88E6-827465023C14}">
  <sheetPr>
    <outlinePr summaryBelow="0" summaryRight="0"/>
  </sheetPr>
  <dimension ref="A2:P90"/>
  <sheetViews>
    <sheetView workbookViewId="0">
      <selection activeCell="N17" sqref="N17"/>
    </sheetView>
  </sheetViews>
  <sheetFormatPr baseColWidth="10" defaultColWidth="12.6640625" defaultRowHeight="15.75" customHeight="1" x14ac:dyDescent="0.15"/>
  <cols>
    <col min="1" max="1" width="12.6640625" style="13"/>
    <col min="2" max="2" width="4.83203125" style="13" customWidth="1"/>
    <col min="3" max="3" width="12.6640625" style="13"/>
    <col min="4" max="4" width="60.33203125" style="13" hidden="1" customWidth="1"/>
    <col min="5" max="5" width="35.1640625" style="13" bestFit="1" customWidth="1"/>
    <col min="6" max="6" width="33.83203125" style="13" bestFit="1" customWidth="1"/>
    <col min="7" max="7" width="15.6640625" style="13" bestFit="1" customWidth="1"/>
    <col min="8" max="8" width="12.6640625" style="9"/>
    <col min="9" max="10" width="6.6640625" customWidth="1"/>
    <col min="11" max="11" width="10" bestFit="1" customWidth="1"/>
    <col min="12" max="12" width="4.6640625" style="6" customWidth="1"/>
    <col min="13" max="13" width="11.6640625" bestFit="1" customWidth="1"/>
    <col min="14" max="14" width="35.1640625" bestFit="1" customWidth="1"/>
    <col min="15" max="15" width="15.6640625" bestFit="1" customWidth="1"/>
    <col min="16" max="16" width="4.6640625" bestFit="1" customWidth="1"/>
  </cols>
  <sheetData>
    <row r="2" spans="1:16" ht="22" x14ac:dyDescent="0.25">
      <c r="A2" s="138" t="s">
        <v>371</v>
      </c>
      <c r="B2" s="138"/>
      <c r="C2" s="138"/>
      <c r="D2" s="138"/>
      <c r="E2" s="138"/>
      <c r="F2" s="138"/>
      <c r="G2" s="138"/>
      <c r="H2" s="138"/>
      <c r="K2" s="137" t="s">
        <v>370</v>
      </c>
      <c r="L2" s="137"/>
      <c r="M2" s="137"/>
      <c r="N2" s="137"/>
      <c r="O2" s="137"/>
      <c r="P2" s="137"/>
    </row>
    <row r="4" spans="1:16" ht="30" customHeight="1" x14ac:dyDescent="0.15">
      <c r="A4" s="30" t="s">
        <v>0</v>
      </c>
      <c r="B4" s="30" t="s">
        <v>1</v>
      </c>
      <c r="C4" s="30" t="s">
        <v>2</v>
      </c>
      <c r="D4" s="30" t="s">
        <v>3</v>
      </c>
      <c r="E4" s="30" t="s">
        <v>3</v>
      </c>
      <c r="F4" s="30" t="s">
        <v>283</v>
      </c>
      <c r="G4" s="30" t="s">
        <v>4</v>
      </c>
      <c r="H4" s="30" t="s">
        <v>5</v>
      </c>
      <c r="K4" s="30" t="s">
        <v>0</v>
      </c>
      <c r="L4" s="30" t="s">
        <v>1</v>
      </c>
      <c r="M4" s="30" t="s">
        <v>2</v>
      </c>
      <c r="N4" s="30" t="s">
        <v>3</v>
      </c>
      <c r="O4" s="30" t="s">
        <v>4</v>
      </c>
      <c r="P4" s="30" t="s">
        <v>5</v>
      </c>
    </row>
    <row r="5" spans="1:16" ht="15.75" customHeight="1" x14ac:dyDescent="0.15">
      <c r="A5" s="10" t="s">
        <v>6</v>
      </c>
      <c r="B5" s="10">
        <v>1</v>
      </c>
      <c r="C5" s="10" t="s">
        <v>7</v>
      </c>
      <c r="D5" s="10" t="s">
        <v>8</v>
      </c>
      <c r="E5" s="10" t="s">
        <v>105</v>
      </c>
      <c r="F5" s="10" t="s">
        <v>106</v>
      </c>
      <c r="G5" s="10" t="s">
        <v>9</v>
      </c>
      <c r="H5" s="7">
        <v>3</v>
      </c>
      <c r="K5" s="2" t="s">
        <v>6</v>
      </c>
      <c r="L5" s="4">
        <v>1</v>
      </c>
      <c r="M5" s="2" t="s">
        <v>284</v>
      </c>
      <c r="N5" s="2" t="s">
        <v>285</v>
      </c>
      <c r="O5" s="2" t="s">
        <v>9</v>
      </c>
      <c r="P5" s="2">
        <v>3</v>
      </c>
    </row>
    <row r="6" spans="1:16" ht="15.75" customHeight="1" x14ac:dyDescent="0.15">
      <c r="A6" s="10" t="s">
        <v>6</v>
      </c>
      <c r="B6" s="10">
        <v>2</v>
      </c>
      <c r="C6" s="10" t="s">
        <v>7</v>
      </c>
      <c r="D6" s="10" t="s">
        <v>10</v>
      </c>
      <c r="E6" s="10" t="s">
        <v>107</v>
      </c>
      <c r="F6" s="10" t="s">
        <v>156</v>
      </c>
      <c r="G6" s="10" t="s">
        <v>9</v>
      </c>
      <c r="H6" s="7">
        <v>3</v>
      </c>
      <c r="K6" s="2" t="s">
        <v>6</v>
      </c>
      <c r="L6" s="4">
        <v>2</v>
      </c>
      <c r="M6" s="2" t="s">
        <v>286</v>
      </c>
      <c r="N6" s="2" t="s">
        <v>110</v>
      </c>
      <c r="O6" s="2" t="s">
        <v>9</v>
      </c>
      <c r="P6" s="2">
        <v>3</v>
      </c>
    </row>
    <row r="7" spans="1:16" ht="15.75" customHeight="1" x14ac:dyDescent="0.15">
      <c r="A7" s="10" t="s">
        <v>6</v>
      </c>
      <c r="B7" s="10">
        <v>3</v>
      </c>
      <c r="C7" s="10" t="s">
        <v>7</v>
      </c>
      <c r="D7" s="10" t="s">
        <v>11</v>
      </c>
      <c r="E7" s="10" t="s">
        <v>108</v>
      </c>
      <c r="F7" s="10" t="s">
        <v>157</v>
      </c>
      <c r="G7" s="10" t="s">
        <v>9</v>
      </c>
      <c r="H7" s="7">
        <v>3</v>
      </c>
      <c r="K7" s="2" t="s">
        <v>6</v>
      </c>
      <c r="L7" s="4">
        <v>3</v>
      </c>
      <c r="M7" s="2" t="s">
        <v>287</v>
      </c>
      <c r="N7" s="2" t="s">
        <v>288</v>
      </c>
      <c r="O7" s="2" t="s">
        <v>9</v>
      </c>
      <c r="P7" s="2">
        <v>2</v>
      </c>
    </row>
    <row r="8" spans="1:16" ht="15.75" customHeight="1" x14ac:dyDescent="0.15">
      <c r="A8" s="10" t="s">
        <v>6</v>
      </c>
      <c r="B8" s="10">
        <v>4</v>
      </c>
      <c r="C8" s="10" t="s">
        <v>12</v>
      </c>
      <c r="D8" s="10" t="s">
        <v>13</v>
      </c>
      <c r="E8" s="10" t="s">
        <v>109</v>
      </c>
      <c r="F8" s="10" t="s">
        <v>158</v>
      </c>
      <c r="G8" s="10" t="s">
        <v>14</v>
      </c>
      <c r="H8" s="7">
        <v>2</v>
      </c>
      <c r="K8" s="2" t="s">
        <v>6</v>
      </c>
      <c r="L8" s="4">
        <v>4</v>
      </c>
      <c r="M8" s="2" t="s">
        <v>289</v>
      </c>
      <c r="N8" s="2" t="s">
        <v>290</v>
      </c>
      <c r="O8" s="2" t="s">
        <v>9</v>
      </c>
      <c r="P8" s="2">
        <v>2</v>
      </c>
    </row>
    <row r="9" spans="1:16" ht="15.75" customHeight="1" x14ac:dyDescent="0.15">
      <c r="A9" s="10" t="s">
        <v>6</v>
      </c>
      <c r="B9" s="10">
        <v>5</v>
      </c>
      <c r="C9" s="10" t="s">
        <v>15</v>
      </c>
      <c r="D9" s="10" t="s">
        <v>16</v>
      </c>
      <c r="E9" s="10" t="s">
        <v>110</v>
      </c>
      <c r="F9" s="10" t="s">
        <v>159</v>
      </c>
      <c r="G9" s="10" t="s">
        <v>9</v>
      </c>
      <c r="H9" s="7">
        <v>3</v>
      </c>
      <c r="K9" s="2" t="s">
        <v>6</v>
      </c>
      <c r="L9" s="4">
        <v>5</v>
      </c>
      <c r="M9" s="2" t="s">
        <v>291</v>
      </c>
      <c r="N9" s="2" t="s">
        <v>292</v>
      </c>
      <c r="O9" s="2" t="s">
        <v>9</v>
      </c>
      <c r="P9" s="2">
        <v>2</v>
      </c>
    </row>
    <row r="10" spans="1:16" ht="15.75" customHeight="1" x14ac:dyDescent="0.15">
      <c r="A10" s="10" t="s">
        <v>6</v>
      </c>
      <c r="B10" s="10">
        <v>6</v>
      </c>
      <c r="C10" s="10" t="s">
        <v>17</v>
      </c>
      <c r="D10" s="10" t="s">
        <v>18</v>
      </c>
      <c r="E10" s="10" t="s">
        <v>111</v>
      </c>
      <c r="F10" s="10" t="s">
        <v>160</v>
      </c>
      <c r="G10" s="10" t="s">
        <v>14</v>
      </c>
      <c r="H10" s="7">
        <v>3</v>
      </c>
      <c r="K10" s="2" t="s">
        <v>6</v>
      </c>
      <c r="L10" s="4">
        <v>6</v>
      </c>
      <c r="M10" s="2" t="s">
        <v>293</v>
      </c>
      <c r="N10" s="2" t="s">
        <v>111</v>
      </c>
      <c r="O10" s="2" t="s">
        <v>14</v>
      </c>
      <c r="P10" s="2">
        <v>3</v>
      </c>
    </row>
    <row r="11" spans="1:16" ht="15.75" customHeight="1" x14ac:dyDescent="0.15">
      <c r="A11" s="10" t="s">
        <v>6</v>
      </c>
      <c r="B11" s="10">
        <v>7</v>
      </c>
      <c r="C11" s="10" t="s">
        <v>19</v>
      </c>
      <c r="D11" s="10" t="s">
        <v>20</v>
      </c>
      <c r="E11" s="10" t="s">
        <v>112</v>
      </c>
      <c r="F11" s="10" t="s">
        <v>161</v>
      </c>
      <c r="G11" s="10" t="s">
        <v>9</v>
      </c>
      <c r="H11" s="7">
        <v>2</v>
      </c>
      <c r="K11" s="2" t="s">
        <v>6</v>
      </c>
      <c r="L11" s="4">
        <v>7</v>
      </c>
      <c r="M11" s="2" t="s">
        <v>294</v>
      </c>
      <c r="N11" s="2" t="s">
        <v>295</v>
      </c>
      <c r="O11" s="2" t="s">
        <v>24</v>
      </c>
      <c r="P11" s="2">
        <v>2</v>
      </c>
    </row>
    <row r="12" spans="1:16" ht="15.75" customHeight="1" x14ac:dyDescent="0.15">
      <c r="A12" s="11" t="s">
        <v>21</v>
      </c>
      <c r="B12" s="11">
        <v>1</v>
      </c>
      <c r="C12" s="11" t="s">
        <v>22</v>
      </c>
      <c r="D12" s="11" t="s">
        <v>23</v>
      </c>
      <c r="E12" s="11" t="s">
        <v>113</v>
      </c>
      <c r="F12" s="11" t="s">
        <v>162</v>
      </c>
      <c r="G12" s="11" t="s">
        <v>24</v>
      </c>
      <c r="H12" s="8">
        <v>2</v>
      </c>
      <c r="K12" s="3" t="s">
        <v>21</v>
      </c>
      <c r="L12" s="5">
        <v>1</v>
      </c>
      <c r="M12" s="3" t="s">
        <v>296</v>
      </c>
      <c r="N12" s="3" t="s">
        <v>119</v>
      </c>
      <c r="O12" s="3" t="s">
        <v>24</v>
      </c>
      <c r="P12" s="3">
        <v>2</v>
      </c>
    </row>
    <row r="13" spans="1:16" ht="15.75" customHeight="1" x14ac:dyDescent="0.15">
      <c r="A13" s="11" t="s">
        <v>21</v>
      </c>
      <c r="B13" s="11">
        <v>2</v>
      </c>
      <c r="C13" s="11" t="s">
        <v>25</v>
      </c>
      <c r="D13" s="11" t="s">
        <v>26</v>
      </c>
      <c r="E13" s="11" t="s">
        <v>114</v>
      </c>
      <c r="F13" s="11" t="s">
        <v>163</v>
      </c>
      <c r="G13" s="11" t="s">
        <v>14</v>
      </c>
      <c r="H13" s="8">
        <v>3</v>
      </c>
      <c r="K13" s="3" t="s">
        <v>21</v>
      </c>
      <c r="L13" s="5">
        <v>2</v>
      </c>
      <c r="M13" s="3" t="s">
        <v>297</v>
      </c>
      <c r="N13" s="3" t="s">
        <v>116</v>
      </c>
      <c r="O13" s="3" t="s">
        <v>9</v>
      </c>
      <c r="P13" s="3">
        <v>3</v>
      </c>
    </row>
    <row r="14" spans="1:16" ht="15.75" customHeight="1" x14ac:dyDescent="0.15">
      <c r="A14" s="11" t="s">
        <v>21</v>
      </c>
      <c r="B14" s="11">
        <v>3</v>
      </c>
      <c r="C14" s="11" t="s">
        <v>27</v>
      </c>
      <c r="D14" s="11" t="s">
        <v>28</v>
      </c>
      <c r="E14" s="11" t="s">
        <v>115</v>
      </c>
      <c r="F14" s="11" t="s">
        <v>164</v>
      </c>
      <c r="G14" s="11" t="s">
        <v>14</v>
      </c>
      <c r="H14" s="8">
        <v>3</v>
      </c>
      <c r="K14" s="3" t="s">
        <v>21</v>
      </c>
      <c r="L14" s="5">
        <v>3</v>
      </c>
      <c r="M14" s="3" t="s">
        <v>298</v>
      </c>
      <c r="N14" s="3" t="s">
        <v>299</v>
      </c>
      <c r="O14" s="3" t="s">
        <v>9</v>
      </c>
      <c r="P14" s="3">
        <v>3</v>
      </c>
    </row>
    <row r="15" spans="1:16" ht="15.75" customHeight="1" x14ac:dyDescent="0.15">
      <c r="A15" s="11" t="s">
        <v>21</v>
      </c>
      <c r="B15" s="11">
        <v>4</v>
      </c>
      <c r="C15" s="11" t="s">
        <v>29</v>
      </c>
      <c r="D15" s="11" t="s">
        <v>30</v>
      </c>
      <c r="E15" s="11" t="s">
        <v>116</v>
      </c>
      <c r="F15" s="11" t="s">
        <v>165</v>
      </c>
      <c r="G15" s="11" t="s">
        <v>9</v>
      </c>
      <c r="H15" s="8">
        <v>3</v>
      </c>
      <c r="K15" s="3" t="s">
        <v>21</v>
      </c>
      <c r="L15" s="5">
        <v>4</v>
      </c>
      <c r="M15" s="3" t="s">
        <v>300</v>
      </c>
      <c r="N15" s="3" t="s">
        <v>301</v>
      </c>
      <c r="O15" s="3" t="s">
        <v>9</v>
      </c>
      <c r="P15" s="3">
        <v>3</v>
      </c>
    </row>
    <row r="16" spans="1:16" ht="15.75" customHeight="1" x14ac:dyDescent="0.15">
      <c r="A16" s="11" t="s">
        <v>21</v>
      </c>
      <c r="B16" s="11">
        <v>5</v>
      </c>
      <c r="C16" s="11" t="s">
        <v>31</v>
      </c>
      <c r="D16" s="11" t="s">
        <v>32</v>
      </c>
      <c r="E16" s="11" t="s">
        <v>117</v>
      </c>
      <c r="F16" s="11" t="s">
        <v>166</v>
      </c>
      <c r="G16" s="11" t="s">
        <v>14</v>
      </c>
      <c r="H16" s="8">
        <v>1</v>
      </c>
      <c r="K16" s="3" t="s">
        <v>21</v>
      </c>
      <c r="L16" s="5">
        <v>5</v>
      </c>
      <c r="M16" s="3" t="s">
        <v>302</v>
      </c>
      <c r="N16" s="3" t="s">
        <v>112</v>
      </c>
      <c r="O16" s="3" t="s">
        <v>9</v>
      </c>
      <c r="P16" s="3">
        <v>2</v>
      </c>
    </row>
    <row r="17" spans="1:16" ht="15.75" customHeight="1" x14ac:dyDescent="0.15">
      <c r="A17" s="11" t="s">
        <v>21</v>
      </c>
      <c r="B17" s="11">
        <v>6</v>
      </c>
      <c r="C17" s="11" t="s">
        <v>33</v>
      </c>
      <c r="D17" s="11" t="s">
        <v>34</v>
      </c>
      <c r="E17" s="11" t="s">
        <v>118</v>
      </c>
      <c r="F17" s="11" t="s">
        <v>167</v>
      </c>
      <c r="G17" s="11" t="s">
        <v>9</v>
      </c>
      <c r="H17" s="8">
        <v>2</v>
      </c>
      <c r="K17" s="3" t="s">
        <v>21</v>
      </c>
      <c r="L17" s="5">
        <v>6</v>
      </c>
      <c r="M17" s="3" t="s">
        <v>303</v>
      </c>
      <c r="N17" s="3" t="s">
        <v>304</v>
      </c>
      <c r="O17" s="3" t="s">
        <v>9</v>
      </c>
      <c r="P17" s="3">
        <v>3</v>
      </c>
    </row>
    <row r="18" spans="1:16" ht="15.75" customHeight="1" x14ac:dyDescent="0.15">
      <c r="A18" s="11" t="s">
        <v>21</v>
      </c>
      <c r="B18" s="11">
        <v>7</v>
      </c>
      <c r="C18" s="11" t="s">
        <v>22</v>
      </c>
      <c r="D18" s="11" t="s">
        <v>35</v>
      </c>
      <c r="E18" s="11" t="s">
        <v>119</v>
      </c>
      <c r="F18" s="11" t="s">
        <v>168</v>
      </c>
      <c r="G18" s="11" t="s">
        <v>24</v>
      </c>
      <c r="H18" s="8">
        <v>3</v>
      </c>
      <c r="K18" s="3" t="s">
        <v>21</v>
      </c>
      <c r="L18" s="5">
        <v>7</v>
      </c>
      <c r="M18" s="3" t="s">
        <v>305</v>
      </c>
      <c r="N18" s="3" t="s">
        <v>114</v>
      </c>
      <c r="O18" s="3" t="s">
        <v>14</v>
      </c>
      <c r="P18" s="3">
        <v>3</v>
      </c>
    </row>
    <row r="19" spans="1:16" ht="15.75" customHeight="1" x14ac:dyDescent="0.15">
      <c r="A19" s="11" t="s">
        <v>21</v>
      </c>
      <c r="B19" s="11">
        <v>8</v>
      </c>
      <c r="C19" s="11" t="s">
        <v>36</v>
      </c>
      <c r="D19" s="11" t="s">
        <v>37</v>
      </c>
      <c r="E19" s="11" t="s">
        <v>120</v>
      </c>
      <c r="F19" s="11" t="s">
        <v>169</v>
      </c>
      <c r="G19" s="11" t="s">
        <v>14</v>
      </c>
      <c r="H19" s="8">
        <v>3</v>
      </c>
      <c r="K19" s="3" t="s">
        <v>21</v>
      </c>
      <c r="L19" s="5">
        <v>8</v>
      </c>
      <c r="M19" s="3" t="s">
        <v>306</v>
      </c>
      <c r="N19" s="3" t="s">
        <v>117</v>
      </c>
      <c r="O19" s="3" t="s">
        <v>14</v>
      </c>
      <c r="P19" s="3">
        <v>1</v>
      </c>
    </row>
    <row r="20" spans="1:16" ht="15.75" customHeight="1" x14ac:dyDescent="0.15">
      <c r="A20" s="10" t="s">
        <v>38</v>
      </c>
      <c r="B20" s="10">
        <v>1</v>
      </c>
      <c r="C20" s="10" t="s">
        <v>39</v>
      </c>
      <c r="D20" s="10" t="s">
        <v>40</v>
      </c>
      <c r="E20" s="10" t="s">
        <v>121</v>
      </c>
      <c r="F20" s="10" t="s">
        <v>170</v>
      </c>
      <c r="G20" s="10" t="s">
        <v>14</v>
      </c>
      <c r="H20" s="7">
        <v>3</v>
      </c>
      <c r="K20" s="2" t="s">
        <v>38</v>
      </c>
      <c r="L20" s="4">
        <v>1</v>
      </c>
      <c r="M20" s="2" t="s">
        <v>307</v>
      </c>
      <c r="N20" s="2" t="s">
        <v>126</v>
      </c>
      <c r="O20" s="2" t="s">
        <v>9</v>
      </c>
      <c r="P20" s="2">
        <v>3</v>
      </c>
    </row>
    <row r="21" spans="1:16" ht="15.75" customHeight="1" x14ac:dyDescent="0.15">
      <c r="A21" s="10" t="s">
        <v>38</v>
      </c>
      <c r="B21" s="10">
        <v>2</v>
      </c>
      <c r="C21" s="10" t="s">
        <v>41</v>
      </c>
      <c r="D21" s="10" t="s">
        <v>42</v>
      </c>
      <c r="E21" s="10" t="s">
        <v>122</v>
      </c>
      <c r="F21" s="10" t="s">
        <v>171</v>
      </c>
      <c r="G21" s="10" t="s">
        <v>14</v>
      </c>
      <c r="H21" s="7">
        <v>3</v>
      </c>
      <c r="K21" s="2" t="s">
        <v>38</v>
      </c>
      <c r="L21" s="4">
        <v>2</v>
      </c>
      <c r="M21" s="2" t="s">
        <v>308</v>
      </c>
      <c r="N21" s="2" t="s">
        <v>124</v>
      </c>
      <c r="O21" s="2" t="s">
        <v>14</v>
      </c>
      <c r="P21" s="2">
        <v>3</v>
      </c>
    </row>
    <row r="22" spans="1:16" ht="15.75" customHeight="1" x14ac:dyDescent="0.15">
      <c r="A22" s="10" t="s">
        <v>38</v>
      </c>
      <c r="B22" s="10">
        <v>3</v>
      </c>
      <c r="C22" s="10" t="s">
        <v>43</v>
      </c>
      <c r="D22" s="10" t="s">
        <v>44</v>
      </c>
      <c r="E22" s="10" t="s">
        <v>123</v>
      </c>
      <c r="F22" s="10" t="s">
        <v>172</v>
      </c>
      <c r="G22" s="10" t="s">
        <v>14</v>
      </c>
      <c r="H22" s="7">
        <v>3</v>
      </c>
      <c r="K22" s="2" t="s">
        <v>38</v>
      </c>
      <c r="L22" s="4">
        <v>3</v>
      </c>
      <c r="M22" s="2" t="s">
        <v>309</v>
      </c>
      <c r="N22" s="2" t="s">
        <v>118</v>
      </c>
      <c r="O22" s="2" t="s">
        <v>9</v>
      </c>
      <c r="P22" s="2">
        <v>2</v>
      </c>
    </row>
    <row r="23" spans="1:16" ht="15.75" customHeight="1" x14ac:dyDescent="0.15">
      <c r="A23" s="10" t="s">
        <v>38</v>
      </c>
      <c r="B23" s="10">
        <v>4</v>
      </c>
      <c r="C23" s="10" t="s">
        <v>45</v>
      </c>
      <c r="D23" s="10" t="s">
        <v>46</v>
      </c>
      <c r="E23" s="10" t="s">
        <v>124</v>
      </c>
      <c r="F23" s="10" t="s">
        <v>173</v>
      </c>
      <c r="G23" s="10" t="s">
        <v>14</v>
      </c>
      <c r="H23" s="7">
        <v>3</v>
      </c>
      <c r="K23" s="2" t="s">
        <v>38</v>
      </c>
      <c r="L23" s="4">
        <v>4</v>
      </c>
      <c r="M23" s="2" t="s">
        <v>310</v>
      </c>
      <c r="N23" s="2" t="s">
        <v>127</v>
      </c>
      <c r="O23" s="2" t="s">
        <v>14</v>
      </c>
      <c r="P23" s="2">
        <v>1</v>
      </c>
    </row>
    <row r="24" spans="1:16" ht="15.75" customHeight="1" x14ac:dyDescent="0.15">
      <c r="A24" s="10" t="s">
        <v>38</v>
      </c>
      <c r="B24" s="10">
        <v>5</v>
      </c>
      <c r="C24" s="10" t="s">
        <v>47</v>
      </c>
      <c r="D24" s="10" t="s">
        <v>48</v>
      </c>
      <c r="E24" s="10" t="s">
        <v>125</v>
      </c>
      <c r="F24" s="10" t="s">
        <v>174</v>
      </c>
      <c r="G24" s="10" t="s">
        <v>14</v>
      </c>
      <c r="H24" s="7">
        <v>3</v>
      </c>
      <c r="K24" s="2" t="s">
        <v>38</v>
      </c>
      <c r="L24" s="4">
        <v>5</v>
      </c>
      <c r="M24" s="2" t="s">
        <v>311</v>
      </c>
      <c r="N24" s="2" t="s">
        <v>121</v>
      </c>
      <c r="O24" s="2" t="s">
        <v>14</v>
      </c>
      <c r="P24" s="2">
        <v>3</v>
      </c>
    </row>
    <row r="25" spans="1:16" ht="15.75" customHeight="1" x14ac:dyDescent="0.15">
      <c r="A25" s="10" t="s">
        <v>38</v>
      </c>
      <c r="B25" s="10">
        <v>6</v>
      </c>
      <c r="C25" s="10" t="s">
        <v>49</v>
      </c>
      <c r="D25" s="10" t="s">
        <v>50</v>
      </c>
      <c r="E25" s="10" t="s">
        <v>126</v>
      </c>
      <c r="F25" s="10" t="s">
        <v>175</v>
      </c>
      <c r="G25" s="10" t="s">
        <v>9</v>
      </c>
      <c r="H25" s="7">
        <v>3</v>
      </c>
      <c r="K25" s="2" t="s">
        <v>38</v>
      </c>
      <c r="L25" s="4">
        <v>6</v>
      </c>
      <c r="M25" s="2" t="s">
        <v>312</v>
      </c>
      <c r="N25" s="2" t="s">
        <v>313</v>
      </c>
      <c r="O25" s="2" t="s">
        <v>14</v>
      </c>
      <c r="P25" s="2">
        <v>3</v>
      </c>
    </row>
    <row r="26" spans="1:16" ht="15.75" customHeight="1" x14ac:dyDescent="0.15">
      <c r="A26" s="10" t="s">
        <v>38</v>
      </c>
      <c r="B26" s="10">
        <v>7</v>
      </c>
      <c r="C26" s="10" t="s">
        <v>51</v>
      </c>
      <c r="D26" s="10" t="s">
        <v>52</v>
      </c>
      <c r="E26" s="10" t="s">
        <v>127</v>
      </c>
      <c r="F26" s="10" t="s">
        <v>176</v>
      </c>
      <c r="G26" s="10" t="s">
        <v>9</v>
      </c>
      <c r="H26" s="7">
        <v>1</v>
      </c>
      <c r="K26" s="2" t="s">
        <v>38</v>
      </c>
      <c r="L26" s="4">
        <v>7</v>
      </c>
      <c r="M26" s="2" t="s">
        <v>314</v>
      </c>
      <c r="N26" s="2" t="s">
        <v>125</v>
      </c>
      <c r="O26" s="2" t="s">
        <v>14</v>
      </c>
      <c r="P26" s="2">
        <v>3</v>
      </c>
    </row>
    <row r="27" spans="1:16" ht="15.75" customHeight="1" x14ac:dyDescent="0.15">
      <c r="A27" s="10" t="s">
        <v>38</v>
      </c>
      <c r="B27" s="10">
        <v>8</v>
      </c>
      <c r="C27" s="10" t="s">
        <v>53</v>
      </c>
      <c r="D27" s="10" t="s">
        <v>54</v>
      </c>
      <c r="E27" s="10" t="s">
        <v>128</v>
      </c>
      <c r="F27" s="10" t="s">
        <v>177</v>
      </c>
      <c r="G27" s="10" t="s">
        <v>14</v>
      </c>
      <c r="H27" s="7">
        <v>2</v>
      </c>
      <c r="K27" s="2" t="s">
        <v>38</v>
      </c>
      <c r="L27" s="4">
        <v>8</v>
      </c>
      <c r="M27" s="2" t="s">
        <v>315</v>
      </c>
      <c r="N27" s="2" t="s">
        <v>115</v>
      </c>
      <c r="O27" s="2" t="s">
        <v>14</v>
      </c>
      <c r="P27" s="2">
        <v>3</v>
      </c>
    </row>
    <row r="28" spans="1:16" ht="15.75" customHeight="1" x14ac:dyDescent="0.15">
      <c r="A28" s="11" t="s">
        <v>55</v>
      </c>
      <c r="B28" s="11">
        <v>1</v>
      </c>
      <c r="C28" s="11" t="s">
        <v>56</v>
      </c>
      <c r="D28" s="11" t="s">
        <v>57</v>
      </c>
      <c r="E28" s="11" t="s">
        <v>129</v>
      </c>
      <c r="F28" s="11" t="s">
        <v>178</v>
      </c>
      <c r="G28" s="11" t="s">
        <v>14</v>
      </c>
      <c r="H28" s="8">
        <v>2</v>
      </c>
      <c r="K28" s="3" t="s">
        <v>55</v>
      </c>
      <c r="L28" s="5">
        <v>1</v>
      </c>
      <c r="M28" s="3" t="s">
        <v>316</v>
      </c>
      <c r="N28" s="3" t="s">
        <v>317</v>
      </c>
      <c r="O28" s="3" t="s">
        <v>14</v>
      </c>
      <c r="P28" s="3">
        <v>3</v>
      </c>
    </row>
    <row r="29" spans="1:16" ht="15.75" customHeight="1" x14ac:dyDescent="0.15">
      <c r="A29" s="11" t="s">
        <v>55</v>
      </c>
      <c r="B29" s="11">
        <v>2</v>
      </c>
      <c r="C29" s="11" t="s">
        <v>22</v>
      </c>
      <c r="D29" s="11" t="s">
        <v>58</v>
      </c>
      <c r="E29" s="11" t="s">
        <v>130</v>
      </c>
      <c r="F29" s="11" t="s">
        <v>179</v>
      </c>
      <c r="G29" s="11" t="s">
        <v>24</v>
      </c>
      <c r="H29" s="8">
        <v>2</v>
      </c>
      <c r="K29" s="3" t="s">
        <v>55</v>
      </c>
      <c r="L29" s="5">
        <v>2</v>
      </c>
      <c r="M29" s="3" t="s">
        <v>318</v>
      </c>
      <c r="N29" s="3" t="s">
        <v>120</v>
      </c>
      <c r="O29" s="3" t="s">
        <v>14</v>
      </c>
      <c r="P29" s="3">
        <v>3</v>
      </c>
    </row>
    <row r="30" spans="1:16" ht="15.75" customHeight="1" x14ac:dyDescent="0.15">
      <c r="A30" s="11" t="s">
        <v>55</v>
      </c>
      <c r="B30" s="11">
        <v>3</v>
      </c>
      <c r="C30" s="11" t="s">
        <v>59</v>
      </c>
      <c r="D30" s="11" t="s">
        <v>60</v>
      </c>
      <c r="E30" s="11" t="s">
        <v>131</v>
      </c>
      <c r="F30" s="11" t="s">
        <v>180</v>
      </c>
      <c r="G30" s="11" t="s">
        <v>14</v>
      </c>
      <c r="H30" s="8">
        <v>3</v>
      </c>
      <c r="K30" s="3" t="s">
        <v>55</v>
      </c>
      <c r="L30" s="5">
        <v>3</v>
      </c>
      <c r="M30" s="3" t="s">
        <v>319</v>
      </c>
      <c r="N30" s="3" t="s">
        <v>320</v>
      </c>
      <c r="O30" s="3" t="s">
        <v>14</v>
      </c>
      <c r="P30" s="3">
        <v>2</v>
      </c>
    </row>
    <row r="31" spans="1:16" ht="15.75" customHeight="1" x14ac:dyDescent="0.15">
      <c r="A31" s="11" t="s">
        <v>55</v>
      </c>
      <c r="B31" s="11">
        <v>4</v>
      </c>
      <c r="C31" s="11" t="s">
        <v>61</v>
      </c>
      <c r="D31" s="11" t="s">
        <v>62</v>
      </c>
      <c r="E31" s="11" t="s">
        <v>132</v>
      </c>
      <c r="F31" s="11" t="s">
        <v>181</v>
      </c>
      <c r="G31" s="11" t="s">
        <v>14</v>
      </c>
      <c r="H31" s="8">
        <v>2</v>
      </c>
      <c r="K31" s="3" t="s">
        <v>55</v>
      </c>
      <c r="L31" s="5">
        <v>4</v>
      </c>
      <c r="M31" s="3" t="s">
        <v>321</v>
      </c>
      <c r="N31" s="3" t="s">
        <v>322</v>
      </c>
      <c r="O31" s="3" t="s">
        <v>14</v>
      </c>
      <c r="P31" s="3">
        <v>3</v>
      </c>
    </row>
    <row r="32" spans="1:16" ht="15.75" customHeight="1" x14ac:dyDescent="0.15">
      <c r="A32" s="11" t="s">
        <v>55</v>
      </c>
      <c r="B32" s="11">
        <v>5</v>
      </c>
      <c r="C32" s="11" t="s">
        <v>63</v>
      </c>
      <c r="D32" s="11" t="s">
        <v>64</v>
      </c>
      <c r="E32" s="11" t="s">
        <v>133</v>
      </c>
      <c r="F32" s="11" t="s">
        <v>182</v>
      </c>
      <c r="G32" s="11" t="s">
        <v>14</v>
      </c>
      <c r="H32" s="8">
        <v>3</v>
      </c>
      <c r="K32" s="3" t="s">
        <v>55</v>
      </c>
      <c r="L32" s="5">
        <v>5</v>
      </c>
      <c r="M32" s="3" t="s">
        <v>323</v>
      </c>
      <c r="N32" s="3" t="s">
        <v>144</v>
      </c>
      <c r="O32" s="3" t="s">
        <v>14</v>
      </c>
      <c r="P32" s="3">
        <v>3</v>
      </c>
    </row>
    <row r="33" spans="1:16" ht="15.75" customHeight="1" x14ac:dyDescent="0.15">
      <c r="A33" s="11" t="s">
        <v>55</v>
      </c>
      <c r="B33" s="11">
        <v>6</v>
      </c>
      <c r="C33" s="11" t="s">
        <v>65</v>
      </c>
      <c r="D33" s="11" t="s">
        <v>66</v>
      </c>
      <c r="E33" s="11" t="s">
        <v>134</v>
      </c>
      <c r="F33" s="11" t="s">
        <v>183</v>
      </c>
      <c r="G33" s="11" t="s">
        <v>14</v>
      </c>
      <c r="H33" s="8">
        <v>3</v>
      </c>
      <c r="K33" s="3" t="s">
        <v>55</v>
      </c>
      <c r="L33" s="5">
        <v>6</v>
      </c>
      <c r="M33" s="3" t="s">
        <v>324</v>
      </c>
      <c r="N33" s="3" t="s">
        <v>122</v>
      </c>
      <c r="O33" s="3" t="s">
        <v>14</v>
      </c>
      <c r="P33" s="3">
        <v>3</v>
      </c>
    </row>
    <row r="34" spans="1:16" ht="15.75" customHeight="1" x14ac:dyDescent="0.15">
      <c r="A34" s="11" t="s">
        <v>55</v>
      </c>
      <c r="B34" s="11">
        <v>7</v>
      </c>
      <c r="C34" s="11" t="s">
        <v>67</v>
      </c>
      <c r="D34" s="11" t="s">
        <v>68</v>
      </c>
      <c r="E34" s="11" t="s">
        <v>135</v>
      </c>
      <c r="F34" s="11" t="s">
        <v>184</v>
      </c>
      <c r="G34" s="11" t="s">
        <v>14</v>
      </c>
      <c r="H34" s="8">
        <v>3</v>
      </c>
      <c r="K34" s="3" t="s">
        <v>55</v>
      </c>
      <c r="L34" s="5">
        <v>7</v>
      </c>
      <c r="M34" s="3" t="s">
        <v>325</v>
      </c>
      <c r="N34" s="3" t="s">
        <v>136</v>
      </c>
      <c r="O34" s="3" t="s">
        <v>14</v>
      </c>
      <c r="P34" s="3">
        <v>2</v>
      </c>
    </row>
    <row r="35" spans="1:16" ht="15.75" customHeight="1" x14ac:dyDescent="0.15">
      <c r="A35" s="11" t="s">
        <v>55</v>
      </c>
      <c r="B35" s="11">
        <v>8</v>
      </c>
      <c r="C35" s="11" t="s">
        <v>69</v>
      </c>
      <c r="D35" s="11" t="s">
        <v>70</v>
      </c>
      <c r="E35" s="11" t="s">
        <v>136</v>
      </c>
      <c r="F35" s="11" t="s">
        <v>185</v>
      </c>
      <c r="G35" s="11" t="s">
        <v>14</v>
      </c>
      <c r="H35" s="8">
        <v>2</v>
      </c>
      <c r="K35" s="2" t="s">
        <v>71</v>
      </c>
      <c r="L35" s="4">
        <v>1</v>
      </c>
      <c r="M35" s="2" t="s">
        <v>326</v>
      </c>
      <c r="N35" s="2" t="s">
        <v>327</v>
      </c>
      <c r="O35" s="2" t="s">
        <v>14</v>
      </c>
      <c r="P35" s="2">
        <v>2</v>
      </c>
    </row>
    <row r="36" spans="1:16" ht="15.75" customHeight="1" x14ac:dyDescent="0.15">
      <c r="A36" s="10" t="s">
        <v>71</v>
      </c>
      <c r="B36" s="10">
        <v>1</v>
      </c>
      <c r="C36" s="10" t="s">
        <v>22</v>
      </c>
      <c r="D36" s="10" t="s">
        <v>72</v>
      </c>
      <c r="E36" s="10" t="s">
        <v>137</v>
      </c>
      <c r="F36" s="10" t="s">
        <v>137</v>
      </c>
      <c r="G36" s="10" t="s">
        <v>24</v>
      </c>
      <c r="H36" s="7">
        <v>2</v>
      </c>
      <c r="K36" s="2" t="s">
        <v>71</v>
      </c>
      <c r="L36" s="4">
        <v>2</v>
      </c>
      <c r="M36" s="2" t="s">
        <v>328</v>
      </c>
      <c r="N36" s="2" t="s">
        <v>128</v>
      </c>
      <c r="O36" s="2" t="s">
        <v>14</v>
      </c>
      <c r="P36" s="2">
        <v>3</v>
      </c>
    </row>
    <row r="37" spans="1:16" ht="15.75" customHeight="1" x14ac:dyDescent="0.15">
      <c r="A37" s="10" t="s">
        <v>71</v>
      </c>
      <c r="B37" s="10">
        <v>2</v>
      </c>
      <c r="C37" s="10" t="s">
        <v>73</v>
      </c>
      <c r="D37" s="10" t="s">
        <v>74</v>
      </c>
      <c r="E37" s="10" t="s">
        <v>138</v>
      </c>
      <c r="F37" s="10" t="s">
        <v>186</v>
      </c>
      <c r="G37" s="10" t="s">
        <v>14</v>
      </c>
      <c r="H37" s="7">
        <v>3</v>
      </c>
      <c r="K37" s="2" t="s">
        <v>71</v>
      </c>
      <c r="L37" s="4">
        <v>3</v>
      </c>
      <c r="M37" s="2" t="s">
        <v>329</v>
      </c>
      <c r="N37" s="2" t="s">
        <v>132</v>
      </c>
      <c r="O37" s="2" t="s">
        <v>14</v>
      </c>
      <c r="P37" s="2">
        <v>2</v>
      </c>
    </row>
    <row r="38" spans="1:16" ht="15.75" customHeight="1" x14ac:dyDescent="0.15">
      <c r="A38" s="10" t="s">
        <v>71</v>
      </c>
      <c r="B38" s="10">
        <v>3</v>
      </c>
      <c r="C38" s="10" t="s">
        <v>75</v>
      </c>
      <c r="D38" s="10" t="s">
        <v>76</v>
      </c>
      <c r="E38" s="10" t="s">
        <v>139</v>
      </c>
      <c r="F38" s="10" t="s">
        <v>187</v>
      </c>
      <c r="G38" s="10" t="s">
        <v>14</v>
      </c>
      <c r="H38" s="7">
        <v>3</v>
      </c>
      <c r="K38" s="2" t="s">
        <v>71</v>
      </c>
      <c r="L38" s="4">
        <v>4</v>
      </c>
      <c r="M38" s="2" t="s">
        <v>330</v>
      </c>
      <c r="N38" s="2" t="s">
        <v>134</v>
      </c>
      <c r="O38" s="2" t="s">
        <v>14</v>
      </c>
      <c r="P38" s="2">
        <v>3</v>
      </c>
    </row>
    <row r="39" spans="1:16" ht="15.75" customHeight="1" x14ac:dyDescent="0.15">
      <c r="A39" s="10" t="s">
        <v>71</v>
      </c>
      <c r="B39" s="10">
        <v>4</v>
      </c>
      <c r="C39" s="10" t="s">
        <v>77</v>
      </c>
      <c r="D39" s="10" t="s">
        <v>78</v>
      </c>
      <c r="E39" s="10" t="s">
        <v>140</v>
      </c>
      <c r="F39" s="10" t="s">
        <v>188</v>
      </c>
      <c r="G39" s="10" t="s">
        <v>14</v>
      </c>
      <c r="H39" s="7">
        <v>2</v>
      </c>
      <c r="K39" s="2" t="s">
        <v>71</v>
      </c>
      <c r="L39" s="4">
        <v>5</v>
      </c>
      <c r="M39" s="2" t="s">
        <v>331</v>
      </c>
      <c r="N39" s="2" t="s">
        <v>133</v>
      </c>
      <c r="O39" s="2" t="s">
        <v>14</v>
      </c>
      <c r="P39" s="2">
        <v>3</v>
      </c>
    </row>
    <row r="40" spans="1:16" ht="15.75" customHeight="1" x14ac:dyDescent="0.15">
      <c r="A40" s="10" t="s">
        <v>71</v>
      </c>
      <c r="B40" s="10">
        <v>5</v>
      </c>
      <c r="C40" s="10" t="s">
        <v>22</v>
      </c>
      <c r="D40" s="10" t="s">
        <v>79</v>
      </c>
      <c r="E40" s="10" t="s">
        <v>141</v>
      </c>
      <c r="F40" s="10" t="s">
        <v>189</v>
      </c>
      <c r="G40" s="10" t="s">
        <v>24</v>
      </c>
      <c r="H40" s="7">
        <v>2</v>
      </c>
      <c r="K40" s="2" t="s">
        <v>71</v>
      </c>
      <c r="L40" s="4">
        <v>6</v>
      </c>
      <c r="M40" s="2" t="s">
        <v>332</v>
      </c>
      <c r="N40" s="2" t="s">
        <v>131</v>
      </c>
      <c r="O40" s="2" t="s">
        <v>14</v>
      </c>
      <c r="P40" s="2">
        <v>3</v>
      </c>
    </row>
    <row r="41" spans="1:16" ht="15.75" customHeight="1" x14ac:dyDescent="0.15">
      <c r="A41" s="10" t="s">
        <v>71</v>
      </c>
      <c r="B41" s="10">
        <v>6</v>
      </c>
      <c r="C41" s="10" t="s">
        <v>22</v>
      </c>
      <c r="D41" s="10" t="s">
        <v>80</v>
      </c>
      <c r="E41" s="10" t="s">
        <v>142</v>
      </c>
      <c r="F41" s="10" t="s">
        <v>142</v>
      </c>
      <c r="G41" s="10" t="s">
        <v>24</v>
      </c>
      <c r="H41" s="7">
        <v>2</v>
      </c>
      <c r="K41" s="2" t="s">
        <v>71</v>
      </c>
      <c r="L41" s="4">
        <v>7</v>
      </c>
      <c r="M41" s="2" t="s">
        <v>333</v>
      </c>
      <c r="N41" s="2" t="s">
        <v>129</v>
      </c>
      <c r="O41" s="2" t="s">
        <v>14</v>
      </c>
      <c r="P41" s="2">
        <v>2</v>
      </c>
    </row>
    <row r="42" spans="1:16" ht="15.75" customHeight="1" x14ac:dyDescent="0.15">
      <c r="A42" s="10" t="s">
        <v>71</v>
      </c>
      <c r="B42" s="10">
        <v>7</v>
      </c>
      <c r="C42" s="10" t="s">
        <v>81</v>
      </c>
      <c r="D42" s="10" t="s">
        <v>82</v>
      </c>
      <c r="E42" s="10" t="s">
        <v>143</v>
      </c>
      <c r="F42" s="10" t="s">
        <v>190</v>
      </c>
      <c r="G42" s="10" t="s">
        <v>14</v>
      </c>
      <c r="H42" s="7">
        <v>3</v>
      </c>
      <c r="K42" s="2" t="s">
        <v>71</v>
      </c>
      <c r="L42" s="4">
        <v>8</v>
      </c>
      <c r="M42" s="2" t="s">
        <v>334</v>
      </c>
      <c r="N42" s="2" t="s">
        <v>147</v>
      </c>
      <c r="O42" s="2" t="s">
        <v>14</v>
      </c>
      <c r="P42" s="2">
        <v>3</v>
      </c>
    </row>
    <row r="43" spans="1:16" ht="15.75" customHeight="1" x14ac:dyDescent="0.15">
      <c r="A43" s="10" t="s">
        <v>71</v>
      </c>
      <c r="B43" s="10">
        <v>8</v>
      </c>
      <c r="C43" s="10" t="s">
        <v>83</v>
      </c>
      <c r="D43" s="10" t="s">
        <v>84</v>
      </c>
      <c r="E43" s="10" t="s">
        <v>144</v>
      </c>
      <c r="F43" s="10" t="s">
        <v>191</v>
      </c>
      <c r="G43" s="10" t="s">
        <v>14</v>
      </c>
      <c r="H43" s="7">
        <v>3</v>
      </c>
      <c r="K43" s="2" t="s">
        <v>85</v>
      </c>
      <c r="L43" s="4">
        <v>1</v>
      </c>
      <c r="M43" s="2" t="s">
        <v>335</v>
      </c>
      <c r="N43" s="2" t="s">
        <v>143</v>
      </c>
      <c r="O43" s="2" t="s">
        <v>14</v>
      </c>
      <c r="P43" s="2">
        <v>3</v>
      </c>
    </row>
    <row r="44" spans="1:16" ht="15.75" customHeight="1" x14ac:dyDescent="0.15">
      <c r="A44" s="11" t="s">
        <v>85</v>
      </c>
      <c r="B44" s="11">
        <v>1</v>
      </c>
      <c r="C44" s="12"/>
      <c r="D44" s="11" t="s">
        <v>86</v>
      </c>
      <c r="E44" s="11" t="s">
        <v>145</v>
      </c>
      <c r="F44" s="11" t="s">
        <v>192</v>
      </c>
      <c r="G44" s="11" t="s">
        <v>14</v>
      </c>
      <c r="H44" s="8">
        <v>20</v>
      </c>
      <c r="K44" s="3" t="s">
        <v>85</v>
      </c>
      <c r="L44" s="5">
        <v>2</v>
      </c>
      <c r="M44" s="3" t="s">
        <v>336</v>
      </c>
      <c r="N44" s="3" t="s">
        <v>153</v>
      </c>
      <c r="O44" s="3" t="s">
        <v>14</v>
      </c>
      <c r="P44" s="3">
        <v>2</v>
      </c>
    </row>
    <row r="45" spans="1:16" ht="15.75" customHeight="1" x14ac:dyDescent="0.15">
      <c r="A45" s="10" t="s">
        <v>87</v>
      </c>
      <c r="B45" s="10">
        <v>1</v>
      </c>
      <c r="C45" s="10" t="s">
        <v>22</v>
      </c>
      <c r="D45" s="10" t="s">
        <v>88</v>
      </c>
      <c r="E45" s="10" t="s">
        <v>146</v>
      </c>
      <c r="F45" s="10" t="s">
        <v>193</v>
      </c>
      <c r="G45" s="10" t="s">
        <v>24</v>
      </c>
      <c r="H45" s="7">
        <v>2</v>
      </c>
      <c r="K45" s="3" t="s">
        <v>85</v>
      </c>
      <c r="L45" s="5">
        <v>3</v>
      </c>
      <c r="M45" s="3" t="s">
        <v>337</v>
      </c>
      <c r="N45" s="3" t="s">
        <v>338</v>
      </c>
      <c r="O45" s="3" t="s">
        <v>14</v>
      </c>
      <c r="P45" s="3">
        <v>3</v>
      </c>
    </row>
    <row r="46" spans="1:16" ht="15.75" customHeight="1" x14ac:dyDescent="0.15">
      <c r="A46" s="10" t="s">
        <v>87</v>
      </c>
      <c r="B46" s="10">
        <v>2</v>
      </c>
      <c r="C46" s="10" t="s">
        <v>89</v>
      </c>
      <c r="D46" s="10" t="s">
        <v>90</v>
      </c>
      <c r="E46" s="10" t="s">
        <v>147</v>
      </c>
      <c r="F46" s="10" t="s">
        <v>194</v>
      </c>
      <c r="G46" s="10" t="s">
        <v>14</v>
      </c>
      <c r="H46" s="7">
        <v>3</v>
      </c>
      <c r="K46" s="3" t="s">
        <v>85</v>
      </c>
      <c r="L46" s="5">
        <v>4</v>
      </c>
      <c r="M46" s="3" t="s">
        <v>339</v>
      </c>
      <c r="N46" s="3" t="s">
        <v>231</v>
      </c>
      <c r="O46" s="3" t="s">
        <v>14</v>
      </c>
      <c r="P46" s="3">
        <v>2</v>
      </c>
    </row>
    <row r="47" spans="1:16" ht="15.75" customHeight="1" x14ac:dyDescent="0.15">
      <c r="A47" s="10" t="s">
        <v>87</v>
      </c>
      <c r="B47" s="10">
        <v>3</v>
      </c>
      <c r="C47" s="10" t="s">
        <v>91</v>
      </c>
      <c r="D47" s="10" t="s">
        <v>92</v>
      </c>
      <c r="E47" s="10" t="s">
        <v>148</v>
      </c>
      <c r="F47" s="10" t="s">
        <v>195</v>
      </c>
      <c r="G47" s="10" t="s">
        <v>14</v>
      </c>
      <c r="H47" s="7">
        <v>2</v>
      </c>
      <c r="K47" s="3" t="s">
        <v>85</v>
      </c>
      <c r="L47" s="5">
        <v>5</v>
      </c>
      <c r="M47" s="3" t="s">
        <v>340</v>
      </c>
      <c r="N47" s="3" t="s">
        <v>142</v>
      </c>
      <c r="O47" s="3" t="s">
        <v>24</v>
      </c>
      <c r="P47" s="3">
        <v>2</v>
      </c>
    </row>
    <row r="48" spans="1:16" ht="15.75" customHeight="1" x14ac:dyDescent="0.15">
      <c r="A48" s="10" t="s">
        <v>87</v>
      </c>
      <c r="B48" s="10">
        <v>4</v>
      </c>
      <c r="C48" s="10" t="s">
        <v>22</v>
      </c>
      <c r="D48" s="10" t="s">
        <v>93</v>
      </c>
      <c r="E48" s="10" t="s">
        <v>149</v>
      </c>
      <c r="F48" s="10" t="s">
        <v>196</v>
      </c>
      <c r="G48" s="10" t="s">
        <v>24</v>
      </c>
      <c r="H48" s="7">
        <v>2</v>
      </c>
      <c r="K48" s="3" t="s">
        <v>85</v>
      </c>
      <c r="L48" s="5">
        <v>6</v>
      </c>
      <c r="M48" s="3" t="s">
        <v>341</v>
      </c>
      <c r="N48" s="3" t="s">
        <v>342</v>
      </c>
      <c r="O48" s="3" t="s">
        <v>24</v>
      </c>
      <c r="P48" s="3">
        <v>2</v>
      </c>
    </row>
    <row r="49" spans="1:16" ht="15.75" customHeight="1" x14ac:dyDescent="0.15">
      <c r="A49" s="10" t="s">
        <v>87</v>
      </c>
      <c r="B49" s="10">
        <v>5</v>
      </c>
      <c r="C49" s="10" t="s">
        <v>22</v>
      </c>
      <c r="D49" s="10" t="s">
        <v>94</v>
      </c>
      <c r="E49" s="10" t="s">
        <v>150</v>
      </c>
      <c r="F49" s="10" t="s">
        <v>197</v>
      </c>
      <c r="G49" s="10" t="s">
        <v>24</v>
      </c>
      <c r="H49" s="7">
        <v>4</v>
      </c>
      <c r="K49" s="3" t="s">
        <v>85</v>
      </c>
      <c r="L49" s="5">
        <v>7</v>
      </c>
      <c r="M49" s="3" t="s">
        <v>343</v>
      </c>
      <c r="N49" s="3" t="s">
        <v>141</v>
      </c>
      <c r="O49" s="3" t="s">
        <v>24</v>
      </c>
      <c r="P49" s="3">
        <v>2</v>
      </c>
    </row>
    <row r="50" spans="1:16" ht="15.75" customHeight="1" x14ac:dyDescent="0.15">
      <c r="A50" s="10" t="s">
        <v>87</v>
      </c>
      <c r="B50" s="10">
        <v>6</v>
      </c>
      <c r="C50" s="10" t="s">
        <v>22</v>
      </c>
      <c r="D50" s="10" t="s">
        <v>95</v>
      </c>
      <c r="E50" s="10" t="s">
        <v>151</v>
      </c>
      <c r="F50" s="10" t="s">
        <v>198</v>
      </c>
      <c r="G50" s="10" t="s">
        <v>24</v>
      </c>
      <c r="H50" s="7">
        <v>2</v>
      </c>
      <c r="K50" s="3" t="s">
        <v>85</v>
      </c>
      <c r="L50" s="5">
        <v>8</v>
      </c>
      <c r="M50" s="3" t="s">
        <v>344</v>
      </c>
      <c r="N50" s="3" t="s">
        <v>113</v>
      </c>
      <c r="O50" s="3" t="s">
        <v>24</v>
      </c>
      <c r="P50" s="3">
        <v>2</v>
      </c>
    </row>
    <row r="51" spans="1:16" ht="15.75" customHeight="1" x14ac:dyDescent="0.15">
      <c r="A51" s="10" t="s">
        <v>87</v>
      </c>
      <c r="B51" s="10">
        <v>7</v>
      </c>
      <c r="C51" s="10" t="s">
        <v>96</v>
      </c>
      <c r="D51" s="10" t="s">
        <v>97</v>
      </c>
      <c r="E51" s="10" t="s">
        <v>152</v>
      </c>
      <c r="F51" s="10" t="s">
        <v>199</v>
      </c>
      <c r="G51" s="10" t="s">
        <v>14</v>
      </c>
      <c r="H51" s="7">
        <v>3</v>
      </c>
      <c r="K51" s="2" t="s">
        <v>87</v>
      </c>
      <c r="L51" s="4">
        <v>1</v>
      </c>
      <c r="M51" s="2" t="s">
        <v>345</v>
      </c>
      <c r="N51" s="2" t="s">
        <v>150</v>
      </c>
      <c r="O51" s="2" t="s">
        <v>24</v>
      </c>
      <c r="P51" s="2">
        <v>4</v>
      </c>
    </row>
    <row r="52" spans="1:16" ht="15.75" customHeight="1" x14ac:dyDescent="0.15">
      <c r="A52" s="10" t="s">
        <v>87</v>
      </c>
      <c r="B52" s="10">
        <v>8</v>
      </c>
      <c r="C52" s="10" t="s">
        <v>98</v>
      </c>
      <c r="D52" s="10" t="s">
        <v>99</v>
      </c>
      <c r="E52" s="10" t="s">
        <v>153</v>
      </c>
      <c r="F52" s="10" t="s">
        <v>200</v>
      </c>
      <c r="G52" s="10" t="s">
        <v>14</v>
      </c>
      <c r="H52" s="7">
        <v>2</v>
      </c>
      <c r="K52" s="2" t="s">
        <v>87</v>
      </c>
      <c r="L52" s="4">
        <v>2</v>
      </c>
      <c r="M52" s="2" t="s">
        <v>346</v>
      </c>
      <c r="N52" s="2" t="s">
        <v>149</v>
      </c>
      <c r="O52" s="2" t="s">
        <v>24</v>
      </c>
      <c r="P52" s="2">
        <v>2</v>
      </c>
    </row>
    <row r="53" spans="1:16" ht="15.75" customHeight="1" x14ac:dyDescent="0.15">
      <c r="A53" s="11" t="s">
        <v>100</v>
      </c>
      <c r="B53" s="11">
        <v>1</v>
      </c>
      <c r="C53" s="11" t="s">
        <v>101</v>
      </c>
      <c r="D53" s="11" t="s">
        <v>102</v>
      </c>
      <c r="E53" s="11" t="s">
        <v>154</v>
      </c>
      <c r="F53" s="11" t="s">
        <v>201</v>
      </c>
      <c r="G53" s="11" t="s">
        <v>14</v>
      </c>
      <c r="H53" s="8">
        <v>2</v>
      </c>
      <c r="K53" s="2" t="s">
        <v>87</v>
      </c>
      <c r="L53" s="4">
        <v>3</v>
      </c>
      <c r="M53" s="2" t="s">
        <v>347</v>
      </c>
      <c r="N53" s="2" t="s">
        <v>151</v>
      </c>
      <c r="O53" s="2" t="s">
        <v>24</v>
      </c>
      <c r="P53" s="2">
        <v>2</v>
      </c>
    </row>
    <row r="54" spans="1:16" ht="13" x14ac:dyDescent="0.15">
      <c r="A54" s="11" t="s">
        <v>100</v>
      </c>
      <c r="B54" s="11">
        <v>2</v>
      </c>
      <c r="C54" s="11" t="s">
        <v>103</v>
      </c>
      <c r="D54" s="11" t="s">
        <v>104</v>
      </c>
      <c r="E54" s="11" t="s">
        <v>155</v>
      </c>
      <c r="F54" s="11" t="s">
        <v>155</v>
      </c>
      <c r="G54" s="11" t="s">
        <v>14</v>
      </c>
      <c r="H54" s="8">
        <v>2</v>
      </c>
      <c r="K54" s="2" t="s">
        <v>87</v>
      </c>
      <c r="L54" s="4">
        <v>4</v>
      </c>
      <c r="M54" s="2" t="s">
        <v>348</v>
      </c>
      <c r="N54" s="2" t="s">
        <v>148</v>
      </c>
      <c r="O54" s="2" t="s">
        <v>24</v>
      </c>
      <c r="P54" s="2">
        <v>2</v>
      </c>
    </row>
    <row r="55" spans="1:16" ht="15.75" customHeight="1" x14ac:dyDescent="0.15">
      <c r="K55" s="2" t="s">
        <v>87</v>
      </c>
      <c r="L55" s="4">
        <v>5</v>
      </c>
      <c r="M55" s="2" t="s">
        <v>349</v>
      </c>
      <c r="N55" s="2" t="s">
        <v>154</v>
      </c>
      <c r="O55" s="2" t="s">
        <v>14</v>
      </c>
      <c r="P55" s="2">
        <v>2</v>
      </c>
    </row>
    <row r="56" spans="1:16" ht="15.75" customHeight="1" x14ac:dyDescent="0.15">
      <c r="K56" s="2" t="s">
        <v>87</v>
      </c>
      <c r="L56" s="4">
        <v>6</v>
      </c>
      <c r="M56" s="2" t="s">
        <v>350</v>
      </c>
      <c r="N56" s="2" t="s">
        <v>351</v>
      </c>
      <c r="O56" s="2" t="s">
        <v>14</v>
      </c>
      <c r="P56" s="2">
        <v>9</v>
      </c>
    </row>
    <row r="57" spans="1:16" ht="15.75" customHeight="1" x14ac:dyDescent="0.15">
      <c r="K57" s="3" t="s">
        <v>100</v>
      </c>
      <c r="L57" s="5">
        <v>1</v>
      </c>
      <c r="M57" s="3" t="s">
        <v>352</v>
      </c>
      <c r="N57" s="3" t="s">
        <v>155</v>
      </c>
      <c r="O57" s="3" t="s">
        <v>24</v>
      </c>
      <c r="P57" s="3">
        <v>2</v>
      </c>
    </row>
    <row r="58" spans="1:16" ht="15.75" customHeight="1" x14ac:dyDescent="0.15">
      <c r="K58" s="3" t="s">
        <v>100</v>
      </c>
      <c r="L58" s="5">
        <v>2</v>
      </c>
      <c r="M58" s="3" t="s">
        <v>353</v>
      </c>
      <c r="N58" s="3" t="s">
        <v>354</v>
      </c>
      <c r="O58" s="3" t="s">
        <v>14</v>
      </c>
      <c r="P58" s="3">
        <v>4</v>
      </c>
    </row>
    <row r="59" spans="1:16" ht="28" customHeight="1" x14ac:dyDescent="0.15">
      <c r="A59" s="30" t="s">
        <v>228</v>
      </c>
      <c r="B59" s="30" t="s">
        <v>1</v>
      </c>
      <c r="C59" s="30" t="s">
        <v>2</v>
      </c>
      <c r="D59" s="30"/>
      <c r="E59" s="30" t="s">
        <v>3</v>
      </c>
      <c r="F59" s="30" t="s">
        <v>283</v>
      </c>
      <c r="G59" s="30" t="s">
        <v>4</v>
      </c>
      <c r="H59" s="30" t="s">
        <v>5</v>
      </c>
      <c r="K59" s="3" t="s">
        <v>100</v>
      </c>
      <c r="L59" s="5">
        <v>3</v>
      </c>
      <c r="M59" s="3" t="s">
        <v>355</v>
      </c>
      <c r="N59" s="3" t="s">
        <v>356</v>
      </c>
      <c r="O59" s="3" t="s">
        <v>14</v>
      </c>
      <c r="P59" s="3">
        <v>6</v>
      </c>
    </row>
    <row r="60" spans="1:16" ht="15.75" customHeight="1" x14ac:dyDescent="0.15">
      <c r="A60" s="15" t="s">
        <v>229</v>
      </c>
      <c r="B60" s="16">
        <v>1</v>
      </c>
      <c r="C60" s="16" t="s">
        <v>230</v>
      </c>
      <c r="D60" s="16" t="s">
        <v>202</v>
      </c>
      <c r="E60" s="16" t="s">
        <v>231</v>
      </c>
      <c r="F60" s="16" t="s">
        <v>232</v>
      </c>
      <c r="G60" s="16" t="s">
        <v>14</v>
      </c>
      <c r="H60" s="17">
        <v>3</v>
      </c>
    </row>
    <row r="61" spans="1:16" ht="15.75" customHeight="1" x14ac:dyDescent="0.15">
      <c r="A61" s="15" t="s">
        <v>229</v>
      </c>
      <c r="B61" s="16">
        <v>2</v>
      </c>
      <c r="C61" s="16" t="s">
        <v>233</v>
      </c>
      <c r="D61" s="16" t="s">
        <v>203</v>
      </c>
      <c r="E61" s="16" t="s">
        <v>234</v>
      </c>
      <c r="F61" s="16" t="s">
        <v>235</v>
      </c>
      <c r="G61" s="16" t="s">
        <v>14</v>
      </c>
      <c r="H61" s="17">
        <v>3</v>
      </c>
    </row>
    <row r="62" spans="1:16" ht="15.75" customHeight="1" x14ac:dyDescent="0.15">
      <c r="A62" s="15" t="s">
        <v>229</v>
      </c>
      <c r="B62" s="16">
        <v>3</v>
      </c>
      <c r="C62" s="16" t="s">
        <v>236</v>
      </c>
      <c r="D62" s="16" t="s">
        <v>204</v>
      </c>
      <c r="E62" s="16" t="s">
        <v>237</v>
      </c>
      <c r="F62" s="16" t="s">
        <v>238</v>
      </c>
      <c r="G62" s="16" t="s">
        <v>14</v>
      </c>
      <c r="H62" s="17">
        <v>3</v>
      </c>
    </row>
    <row r="63" spans="1:16" ht="15.75" customHeight="1" x14ac:dyDescent="0.15">
      <c r="A63" s="15" t="s">
        <v>229</v>
      </c>
      <c r="B63" s="16">
        <v>4</v>
      </c>
      <c r="C63" s="16" t="s">
        <v>239</v>
      </c>
      <c r="D63" s="16" t="s">
        <v>205</v>
      </c>
      <c r="E63" s="16" t="s">
        <v>240</v>
      </c>
      <c r="F63" s="16" t="s">
        <v>241</v>
      </c>
      <c r="G63" s="16" t="s">
        <v>14</v>
      </c>
      <c r="H63" s="17">
        <v>3</v>
      </c>
    </row>
    <row r="64" spans="1:16" ht="15.75" customHeight="1" x14ac:dyDescent="0.15">
      <c r="A64" s="15" t="s">
        <v>229</v>
      </c>
      <c r="B64" s="16">
        <v>5</v>
      </c>
      <c r="C64" s="16" t="s">
        <v>242</v>
      </c>
      <c r="D64" s="16" t="s">
        <v>206</v>
      </c>
      <c r="E64" s="16" t="s">
        <v>243</v>
      </c>
      <c r="F64" s="16" t="s">
        <v>244</v>
      </c>
      <c r="G64" s="16" t="s">
        <v>14</v>
      </c>
      <c r="H64" s="17">
        <v>3</v>
      </c>
    </row>
    <row r="65" spans="1:8" ht="15.75" customHeight="1" x14ac:dyDescent="0.15">
      <c r="A65" s="14" t="s">
        <v>229</v>
      </c>
      <c r="B65" s="18">
        <v>6</v>
      </c>
      <c r="C65" s="19"/>
      <c r="D65" s="18" t="s">
        <v>207</v>
      </c>
      <c r="E65" s="18" t="s">
        <v>245</v>
      </c>
      <c r="F65" s="18" t="s">
        <v>246</v>
      </c>
      <c r="G65" s="18" t="s">
        <v>14</v>
      </c>
      <c r="H65" s="20">
        <v>3</v>
      </c>
    </row>
    <row r="66" spans="1:8" ht="15.75" customHeight="1" x14ac:dyDescent="0.15">
      <c r="A66" s="14" t="s">
        <v>229</v>
      </c>
      <c r="B66" s="18">
        <v>7</v>
      </c>
      <c r="C66" s="19"/>
      <c r="D66" s="18" t="s">
        <v>208</v>
      </c>
      <c r="E66" s="18" t="s">
        <v>247</v>
      </c>
      <c r="F66" s="18" t="s">
        <v>248</v>
      </c>
      <c r="G66" s="18" t="s">
        <v>14</v>
      </c>
      <c r="H66" s="20">
        <v>2</v>
      </c>
    </row>
    <row r="67" spans="1:8" ht="15.75" customHeight="1" x14ac:dyDescent="0.15">
      <c r="A67" s="21" t="s">
        <v>249</v>
      </c>
      <c r="B67" s="22">
        <v>1</v>
      </c>
      <c r="C67" s="22" t="s">
        <v>250</v>
      </c>
      <c r="D67" s="22" t="s">
        <v>209</v>
      </c>
      <c r="E67" s="22" t="s">
        <v>251</v>
      </c>
      <c r="F67" s="22" t="s">
        <v>252</v>
      </c>
      <c r="G67" s="22" t="s">
        <v>14</v>
      </c>
      <c r="H67" s="23">
        <v>3</v>
      </c>
    </row>
    <row r="68" spans="1:8" ht="15.75" customHeight="1" x14ac:dyDescent="0.15">
      <c r="A68" s="21" t="s">
        <v>249</v>
      </c>
      <c r="B68" s="22">
        <v>2</v>
      </c>
      <c r="C68" s="22" t="s">
        <v>253</v>
      </c>
      <c r="D68" s="22" t="s">
        <v>210</v>
      </c>
      <c r="E68" s="22" t="s">
        <v>254</v>
      </c>
      <c r="F68" s="22" t="s">
        <v>255</v>
      </c>
      <c r="G68" s="22" t="s">
        <v>14</v>
      </c>
      <c r="H68" s="23">
        <v>3</v>
      </c>
    </row>
    <row r="69" spans="1:8" ht="15.75" customHeight="1" x14ac:dyDescent="0.15">
      <c r="A69" s="21" t="s">
        <v>249</v>
      </c>
      <c r="B69" s="22">
        <v>3</v>
      </c>
      <c r="C69" s="22" t="s">
        <v>256</v>
      </c>
      <c r="D69" s="22" t="s">
        <v>211</v>
      </c>
      <c r="E69" s="22" t="s">
        <v>257</v>
      </c>
      <c r="F69" s="22" t="s">
        <v>258</v>
      </c>
      <c r="G69" s="22" t="s">
        <v>14</v>
      </c>
      <c r="H69" s="23">
        <v>3</v>
      </c>
    </row>
    <row r="70" spans="1:8" ht="15.75" customHeight="1" x14ac:dyDescent="0.15">
      <c r="A70" s="21" t="s">
        <v>249</v>
      </c>
      <c r="B70" s="22">
        <v>4</v>
      </c>
      <c r="C70" s="22" t="s">
        <v>259</v>
      </c>
      <c r="D70" s="22" t="s">
        <v>212</v>
      </c>
      <c r="E70" s="22" t="s">
        <v>260</v>
      </c>
      <c r="F70" s="22" t="s">
        <v>261</v>
      </c>
      <c r="G70" s="22" t="s">
        <v>14</v>
      </c>
      <c r="H70" s="23">
        <v>3</v>
      </c>
    </row>
    <row r="71" spans="1:8" ht="15.75" customHeight="1" x14ac:dyDescent="0.15">
      <c r="A71" s="21" t="s">
        <v>249</v>
      </c>
      <c r="B71" s="22">
        <v>5</v>
      </c>
      <c r="C71" s="22" t="s">
        <v>262</v>
      </c>
      <c r="D71" s="22" t="s">
        <v>213</v>
      </c>
      <c r="E71" s="22" t="s">
        <v>263</v>
      </c>
      <c r="F71" s="22" t="s">
        <v>264</v>
      </c>
      <c r="G71" s="22" t="s">
        <v>14</v>
      </c>
      <c r="H71" s="23">
        <v>3</v>
      </c>
    </row>
    <row r="72" spans="1:8" ht="15.75" customHeight="1" x14ac:dyDescent="0.15">
      <c r="A72" s="14" t="s">
        <v>249</v>
      </c>
      <c r="B72" s="18">
        <v>6</v>
      </c>
      <c r="C72" s="19"/>
      <c r="D72" s="18" t="s">
        <v>207</v>
      </c>
      <c r="E72" s="18" t="s">
        <v>245</v>
      </c>
      <c r="F72" s="18" t="s">
        <v>246</v>
      </c>
      <c r="G72" s="18" t="s">
        <v>14</v>
      </c>
      <c r="H72" s="20">
        <v>3</v>
      </c>
    </row>
    <row r="73" spans="1:8" ht="15.75" customHeight="1" x14ac:dyDescent="0.15">
      <c r="A73" s="14" t="s">
        <v>249</v>
      </c>
      <c r="B73" s="18">
        <v>7</v>
      </c>
      <c r="C73" s="19"/>
      <c r="D73" s="18" t="s">
        <v>208</v>
      </c>
      <c r="E73" s="18" t="s">
        <v>247</v>
      </c>
      <c r="F73" s="18" t="s">
        <v>248</v>
      </c>
      <c r="G73" s="18" t="s">
        <v>14</v>
      </c>
      <c r="H73" s="20">
        <v>2</v>
      </c>
    </row>
    <row r="74" spans="1:8" ht="15.75" customHeight="1" x14ac:dyDescent="0.15">
      <c r="A74" s="24" t="s">
        <v>265</v>
      </c>
      <c r="B74" s="25">
        <v>1</v>
      </c>
      <c r="C74" s="25" t="s">
        <v>266</v>
      </c>
      <c r="D74" s="25" t="s">
        <v>214</v>
      </c>
      <c r="E74" s="25" t="s">
        <v>267</v>
      </c>
      <c r="F74" s="25" t="s">
        <v>268</v>
      </c>
      <c r="G74" s="25" t="s">
        <v>14</v>
      </c>
      <c r="H74" s="26">
        <v>3</v>
      </c>
    </row>
    <row r="75" spans="1:8" ht="15.75" customHeight="1" x14ac:dyDescent="0.15">
      <c r="A75" s="24" t="s">
        <v>265</v>
      </c>
      <c r="B75" s="25">
        <v>2</v>
      </c>
      <c r="C75" s="25" t="s">
        <v>269</v>
      </c>
      <c r="D75" s="25" t="s">
        <v>215</v>
      </c>
      <c r="E75" s="25" t="s">
        <v>270</v>
      </c>
      <c r="F75" s="25" t="s">
        <v>271</v>
      </c>
      <c r="G75" s="25" t="s">
        <v>14</v>
      </c>
      <c r="H75" s="26">
        <v>3</v>
      </c>
    </row>
    <row r="76" spans="1:8" ht="15.75" customHeight="1" x14ac:dyDescent="0.15">
      <c r="A76" s="24" t="s">
        <v>265</v>
      </c>
      <c r="B76" s="25">
        <v>3</v>
      </c>
      <c r="C76" s="25" t="s">
        <v>272</v>
      </c>
      <c r="D76" s="25" t="s">
        <v>216</v>
      </c>
      <c r="E76" s="25" t="s">
        <v>273</v>
      </c>
      <c r="F76" s="25" t="s">
        <v>274</v>
      </c>
      <c r="G76" s="25" t="s">
        <v>14</v>
      </c>
      <c r="H76" s="26">
        <v>3</v>
      </c>
    </row>
    <row r="77" spans="1:8" ht="15.75" customHeight="1" x14ac:dyDescent="0.15">
      <c r="A77" s="24" t="s">
        <v>265</v>
      </c>
      <c r="B77" s="25">
        <v>4</v>
      </c>
      <c r="C77" s="25" t="s">
        <v>275</v>
      </c>
      <c r="D77" s="25" t="s">
        <v>217</v>
      </c>
      <c r="E77" s="25" t="s">
        <v>276</v>
      </c>
      <c r="F77" s="25" t="s">
        <v>277</v>
      </c>
      <c r="G77" s="25" t="s">
        <v>14</v>
      </c>
      <c r="H77" s="26">
        <v>3</v>
      </c>
    </row>
    <row r="78" spans="1:8" ht="15.75" customHeight="1" x14ac:dyDescent="0.15">
      <c r="A78" s="24" t="s">
        <v>265</v>
      </c>
      <c r="B78" s="25">
        <v>5</v>
      </c>
      <c r="C78" s="25" t="s">
        <v>278</v>
      </c>
      <c r="D78" s="25" t="s">
        <v>218</v>
      </c>
      <c r="E78" s="25" t="s">
        <v>279</v>
      </c>
      <c r="F78" s="25" t="s">
        <v>280</v>
      </c>
      <c r="G78" s="25" t="s">
        <v>14</v>
      </c>
      <c r="H78" s="26">
        <v>3</v>
      </c>
    </row>
    <row r="79" spans="1:8" ht="15.75" customHeight="1" x14ac:dyDescent="0.15">
      <c r="A79" s="14" t="s">
        <v>265</v>
      </c>
      <c r="B79" s="18">
        <v>6</v>
      </c>
      <c r="C79" s="19"/>
      <c r="D79" s="18" t="s">
        <v>207</v>
      </c>
      <c r="E79" s="18" t="s">
        <v>245</v>
      </c>
      <c r="F79" s="18" t="s">
        <v>246</v>
      </c>
      <c r="G79" s="18" t="s">
        <v>14</v>
      </c>
      <c r="H79" s="20">
        <v>3</v>
      </c>
    </row>
    <row r="80" spans="1:8" ht="15.75" customHeight="1" x14ac:dyDescent="0.15">
      <c r="A80" s="14" t="s">
        <v>265</v>
      </c>
      <c r="B80" s="18">
        <v>7</v>
      </c>
      <c r="C80" s="19"/>
      <c r="D80" s="18" t="s">
        <v>208</v>
      </c>
      <c r="E80" s="18" t="s">
        <v>247</v>
      </c>
      <c r="F80" s="18" t="s">
        <v>248</v>
      </c>
      <c r="G80" s="18" t="s">
        <v>14</v>
      </c>
      <c r="H80" s="20">
        <v>2</v>
      </c>
    </row>
    <row r="81" spans="1:8" ht="15.75" customHeight="1" x14ac:dyDescent="0.15">
      <c r="A81" s="27" t="s">
        <v>281</v>
      </c>
      <c r="B81" s="11">
        <v>1</v>
      </c>
      <c r="C81" s="12"/>
      <c r="D81" s="11" t="s">
        <v>219</v>
      </c>
      <c r="E81" s="11" t="s">
        <v>219</v>
      </c>
      <c r="F81" s="11" t="s">
        <v>219</v>
      </c>
      <c r="G81" s="11" t="s">
        <v>14</v>
      </c>
      <c r="H81" s="8">
        <v>3</v>
      </c>
    </row>
    <row r="82" spans="1:8" ht="15.75" customHeight="1" x14ac:dyDescent="0.15">
      <c r="A82" s="27" t="s">
        <v>281</v>
      </c>
      <c r="B82" s="11">
        <v>2</v>
      </c>
      <c r="C82" s="12"/>
      <c r="D82" s="11" t="s">
        <v>220</v>
      </c>
      <c r="E82" s="11" t="s">
        <v>220</v>
      </c>
      <c r="F82" s="11" t="s">
        <v>220</v>
      </c>
      <c r="G82" s="11" t="s">
        <v>14</v>
      </c>
      <c r="H82" s="8">
        <v>3</v>
      </c>
    </row>
    <row r="83" spans="1:8" ht="15.75" customHeight="1" x14ac:dyDescent="0.15">
      <c r="A83" s="27" t="s">
        <v>281</v>
      </c>
      <c r="B83" s="11">
        <v>3</v>
      </c>
      <c r="C83" s="12"/>
      <c r="D83" s="11" t="s">
        <v>221</v>
      </c>
      <c r="E83" s="11" t="s">
        <v>221</v>
      </c>
      <c r="F83" s="11" t="s">
        <v>221</v>
      </c>
      <c r="G83" s="11" t="s">
        <v>14</v>
      </c>
      <c r="H83" s="8">
        <v>3</v>
      </c>
    </row>
    <row r="84" spans="1:8" ht="15.75" customHeight="1" x14ac:dyDescent="0.15">
      <c r="A84" s="27" t="s">
        <v>281</v>
      </c>
      <c r="B84" s="11">
        <v>4</v>
      </c>
      <c r="C84" s="12"/>
      <c r="D84" s="11" t="s">
        <v>222</v>
      </c>
      <c r="E84" s="11" t="s">
        <v>222</v>
      </c>
      <c r="F84" s="11" t="s">
        <v>222</v>
      </c>
      <c r="G84" s="11" t="s">
        <v>14</v>
      </c>
      <c r="H84" s="8">
        <v>3</v>
      </c>
    </row>
    <row r="85" spans="1:8" ht="15.75" customHeight="1" x14ac:dyDescent="0.15">
      <c r="A85" s="27" t="s">
        <v>281</v>
      </c>
      <c r="B85" s="11">
        <v>5</v>
      </c>
      <c r="C85" s="12"/>
      <c r="D85" s="11" t="s">
        <v>223</v>
      </c>
      <c r="E85" s="11" t="s">
        <v>223</v>
      </c>
      <c r="F85" s="11" t="s">
        <v>223</v>
      </c>
      <c r="G85" s="11" t="s">
        <v>14</v>
      </c>
      <c r="H85" s="8">
        <v>3</v>
      </c>
    </row>
    <row r="86" spans="1:8" ht="15.75" customHeight="1" x14ac:dyDescent="0.15">
      <c r="A86" s="27" t="s">
        <v>281</v>
      </c>
      <c r="B86" s="11">
        <v>6</v>
      </c>
      <c r="C86" s="12"/>
      <c r="D86" s="11" t="s">
        <v>224</v>
      </c>
      <c r="E86" s="11" t="s">
        <v>224</v>
      </c>
      <c r="F86" s="11" t="s">
        <v>224</v>
      </c>
      <c r="G86" s="11" t="s">
        <v>14</v>
      </c>
      <c r="H86" s="8">
        <v>3</v>
      </c>
    </row>
    <row r="87" spans="1:8" ht="15.75" customHeight="1" x14ac:dyDescent="0.15">
      <c r="A87" s="27" t="s">
        <v>281</v>
      </c>
      <c r="B87" s="11">
        <v>7</v>
      </c>
      <c r="C87" s="12"/>
      <c r="D87" s="11" t="s">
        <v>208</v>
      </c>
      <c r="E87" s="11" t="s">
        <v>247</v>
      </c>
      <c r="F87" s="11" t="s">
        <v>248</v>
      </c>
      <c r="G87" s="11" t="s">
        <v>14</v>
      </c>
      <c r="H87" s="8">
        <v>2</v>
      </c>
    </row>
    <row r="88" spans="1:8" ht="15.75" customHeight="1" x14ac:dyDescent="0.15">
      <c r="A88" s="28" t="s">
        <v>282</v>
      </c>
      <c r="B88" s="10">
        <v>1</v>
      </c>
      <c r="C88" s="29"/>
      <c r="D88" s="10" t="s">
        <v>225</v>
      </c>
      <c r="E88" s="10" t="s">
        <v>225</v>
      </c>
      <c r="F88" s="10" t="s">
        <v>225</v>
      </c>
      <c r="G88" s="10" t="s">
        <v>14</v>
      </c>
      <c r="H88" s="7">
        <v>1</v>
      </c>
    </row>
    <row r="89" spans="1:8" ht="15.75" customHeight="1" x14ac:dyDescent="0.15">
      <c r="A89" s="28" t="s">
        <v>282</v>
      </c>
      <c r="B89" s="10">
        <v>2</v>
      </c>
      <c r="C89" s="29"/>
      <c r="D89" s="10" t="s">
        <v>226</v>
      </c>
      <c r="E89" s="10" t="s">
        <v>226</v>
      </c>
      <c r="F89" s="10" t="s">
        <v>226</v>
      </c>
      <c r="G89" s="10" t="s">
        <v>14</v>
      </c>
      <c r="H89" s="7">
        <v>2</v>
      </c>
    </row>
    <row r="90" spans="1:8" ht="15.75" customHeight="1" x14ac:dyDescent="0.15">
      <c r="A90" s="28" t="s">
        <v>282</v>
      </c>
      <c r="B90" s="10">
        <v>3</v>
      </c>
      <c r="C90" s="29"/>
      <c r="D90" s="10" t="s">
        <v>227</v>
      </c>
      <c r="E90" s="10" t="s">
        <v>227</v>
      </c>
      <c r="F90" s="10" t="s">
        <v>227</v>
      </c>
      <c r="G90" s="10" t="s">
        <v>14</v>
      </c>
      <c r="H90" s="7">
        <v>3</v>
      </c>
    </row>
  </sheetData>
  <mergeCells count="2">
    <mergeCell ref="K2:P2"/>
    <mergeCell ref="A2:H2"/>
  </mergeCells>
  <pageMargins left="0.7" right="0.7" top="0.75" bottom="0.75" header="0.3" footer="0.3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E1A82-3AD5-5543-9A2E-468D89FDBF11}">
  <dimension ref="B2:M182"/>
  <sheetViews>
    <sheetView topLeftCell="A22" zoomScale="166" zoomScaleNormal="166" workbookViewId="0">
      <selection activeCell="F12" sqref="F12"/>
    </sheetView>
  </sheetViews>
  <sheetFormatPr baseColWidth="10" defaultColWidth="11.5" defaultRowHeight="13" x14ac:dyDescent="0.15"/>
  <cols>
    <col min="1" max="1" width="4.5" customWidth="1"/>
    <col min="2" max="2" width="10.1640625" customWidth="1"/>
    <col min="3" max="3" width="4.6640625" customWidth="1"/>
    <col min="4" max="4" width="11.6640625" bestFit="1" customWidth="1"/>
    <col min="5" max="5" width="30.83203125" bestFit="1" customWidth="1"/>
    <col min="6" max="6" width="15.6640625" bestFit="1" customWidth="1"/>
    <col min="7" max="7" width="4.6640625" bestFit="1" customWidth="1"/>
    <col min="8" max="8" width="4.5" customWidth="1"/>
    <col min="9" max="9" width="23.33203125" customWidth="1"/>
    <col min="10" max="11" width="6.6640625" customWidth="1"/>
  </cols>
  <sheetData>
    <row r="2" spans="2:11" ht="21" customHeight="1" x14ac:dyDescent="0.15">
      <c r="B2" s="127" t="s">
        <v>373</v>
      </c>
      <c r="C2" s="127"/>
      <c r="D2" s="127"/>
      <c r="E2" s="127"/>
      <c r="F2" s="127"/>
      <c r="G2" s="127"/>
      <c r="I2" s="1" t="s">
        <v>371</v>
      </c>
    </row>
    <row r="3" spans="2:11" x14ac:dyDescent="0.15">
      <c r="B3" s="1" t="s">
        <v>372</v>
      </c>
    </row>
    <row r="4" spans="2:11" ht="20" customHeight="1" x14ac:dyDescent="0.15">
      <c r="B4" s="61" t="s">
        <v>0</v>
      </c>
      <c r="C4" s="61" t="s">
        <v>1</v>
      </c>
      <c r="D4" s="61" t="s">
        <v>2</v>
      </c>
      <c r="E4" s="61" t="s">
        <v>3</v>
      </c>
      <c r="F4" s="61" t="s">
        <v>4</v>
      </c>
      <c r="G4" s="61" t="s">
        <v>5</v>
      </c>
    </row>
    <row r="5" spans="2:11" x14ac:dyDescent="0.15">
      <c r="B5" s="52" t="s">
        <v>6</v>
      </c>
      <c r="C5" s="53">
        <v>1</v>
      </c>
      <c r="D5" s="54" t="s">
        <v>284</v>
      </c>
      <c r="E5" s="54" t="s">
        <v>285</v>
      </c>
      <c r="F5" s="54" t="s">
        <v>9</v>
      </c>
      <c r="G5" s="54">
        <v>3</v>
      </c>
      <c r="I5" s="63" t="s">
        <v>108</v>
      </c>
      <c r="J5" s="50">
        <v>3</v>
      </c>
      <c r="K5" s="50">
        <v>1</v>
      </c>
    </row>
    <row r="6" spans="2:11" x14ac:dyDescent="0.15">
      <c r="B6" s="55" t="s">
        <v>6</v>
      </c>
      <c r="C6" s="56">
        <v>2</v>
      </c>
      <c r="D6" s="57" t="s">
        <v>286</v>
      </c>
      <c r="E6" s="57" t="s">
        <v>110</v>
      </c>
      <c r="F6" s="57" t="s">
        <v>9</v>
      </c>
      <c r="G6" s="57">
        <v>3</v>
      </c>
      <c r="I6" s="63" t="s">
        <v>110</v>
      </c>
      <c r="J6" s="50">
        <v>3</v>
      </c>
      <c r="K6" s="50">
        <v>1</v>
      </c>
    </row>
    <row r="7" spans="2:11" x14ac:dyDescent="0.15">
      <c r="B7" s="55" t="s">
        <v>6</v>
      </c>
      <c r="C7" s="56">
        <v>3</v>
      </c>
      <c r="D7" s="57" t="s">
        <v>287</v>
      </c>
      <c r="E7" s="57" t="s">
        <v>288</v>
      </c>
      <c r="F7" s="57" t="s">
        <v>9</v>
      </c>
      <c r="G7" s="57">
        <v>2</v>
      </c>
      <c r="I7" s="64" t="s">
        <v>374</v>
      </c>
      <c r="J7" s="65">
        <v>2</v>
      </c>
      <c r="K7" s="65">
        <v>1</v>
      </c>
    </row>
    <row r="8" spans="2:11" x14ac:dyDescent="0.15">
      <c r="B8" s="55" t="s">
        <v>6</v>
      </c>
      <c r="C8" s="56">
        <v>4</v>
      </c>
      <c r="D8" s="57" t="s">
        <v>289</v>
      </c>
      <c r="E8" s="57" t="s">
        <v>290</v>
      </c>
      <c r="F8" s="57" t="s">
        <v>9</v>
      </c>
      <c r="G8" s="57">
        <v>2</v>
      </c>
      <c r="I8" s="63" t="s">
        <v>107</v>
      </c>
      <c r="J8" s="50">
        <v>3</v>
      </c>
      <c r="K8" s="50">
        <v>1</v>
      </c>
    </row>
    <row r="9" spans="2:11" x14ac:dyDescent="0.15">
      <c r="B9" s="55" t="s">
        <v>6</v>
      </c>
      <c r="C9" s="56">
        <v>5</v>
      </c>
      <c r="D9" s="57" t="s">
        <v>291</v>
      </c>
      <c r="E9" s="57" t="s">
        <v>292</v>
      </c>
      <c r="F9" s="57" t="s">
        <v>9</v>
      </c>
      <c r="G9" s="57">
        <v>2</v>
      </c>
      <c r="I9" s="63" t="s">
        <v>107</v>
      </c>
      <c r="J9" s="50">
        <v>0</v>
      </c>
      <c r="K9" s="50">
        <v>1</v>
      </c>
    </row>
    <row r="10" spans="2:11" x14ac:dyDescent="0.15">
      <c r="B10" s="55" t="s">
        <v>6</v>
      </c>
      <c r="C10" s="56">
        <v>6</v>
      </c>
      <c r="D10" s="57" t="s">
        <v>293</v>
      </c>
      <c r="E10" s="57" t="s">
        <v>111</v>
      </c>
      <c r="F10" s="57" t="s">
        <v>14</v>
      </c>
      <c r="G10" s="57">
        <v>3</v>
      </c>
      <c r="I10" s="63" t="s">
        <v>375</v>
      </c>
      <c r="J10" s="50">
        <v>3</v>
      </c>
      <c r="K10" s="50">
        <v>1</v>
      </c>
    </row>
    <row r="11" spans="2:11" x14ac:dyDescent="0.15">
      <c r="B11" s="55" t="s">
        <v>6</v>
      </c>
      <c r="C11" s="56">
        <v>7</v>
      </c>
      <c r="D11" s="57" t="s">
        <v>294</v>
      </c>
      <c r="E11" s="57" t="s">
        <v>295</v>
      </c>
      <c r="F11" s="57" t="s">
        <v>24</v>
      </c>
      <c r="G11" s="57">
        <v>2</v>
      </c>
      <c r="I11" s="63" t="s">
        <v>146</v>
      </c>
      <c r="J11" s="50">
        <v>2</v>
      </c>
      <c r="K11" s="50">
        <v>7</v>
      </c>
    </row>
    <row r="12" spans="2:11" x14ac:dyDescent="0.15">
      <c r="B12" s="58" t="s">
        <v>21</v>
      </c>
      <c r="C12" s="59">
        <v>1</v>
      </c>
      <c r="D12" s="60" t="s">
        <v>296</v>
      </c>
      <c r="E12" s="60" t="s">
        <v>119</v>
      </c>
      <c r="F12" s="60" t="s">
        <v>24</v>
      </c>
      <c r="G12" s="60">
        <v>2</v>
      </c>
      <c r="I12" s="63" t="s">
        <v>119</v>
      </c>
      <c r="J12" s="50">
        <v>3</v>
      </c>
      <c r="K12" s="50">
        <v>2</v>
      </c>
    </row>
    <row r="13" spans="2:11" x14ac:dyDescent="0.15">
      <c r="B13" s="58" t="s">
        <v>21</v>
      </c>
      <c r="C13" s="59">
        <v>2</v>
      </c>
      <c r="D13" s="60" t="s">
        <v>297</v>
      </c>
      <c r="E13" s="60" t="s">
        <v>116</v>
      </c>
      <c r="F13" s="60" t="s">
        <v>9</v>
      </c>
      <c r="G13" s="60">
        <v>3</v>
      </c>
      <c r="I13" s="63" t="s">
        <v>116</v>
      </c>
      <c r="J13" s="50">
        <v>3</v>
      </c>
      <c r="K13" s="50">
        <v>2</v>
      </c>
    </row>
    <row r="14" spans="2:11" x14ac:dyDescent="0.15">
      <c r="B14" s="58" t="s">
        <v>21</v>
      </c>
      <c r="C14" s="59">
        <v>3</v>
      </c>
      <c r="D14" s="60" t="s">
        <v>298</v>
      </c>
      <c r="E14" s="60" t="s">
        <v>299</v>
      </c>
      <c r="F14" s="60" t="s">
        <v>9</v>
      </c>
      <c r="G14" s="60">
        <v>3</v>
      </c>
      <c r="I14" s="64" t="s">
        <v>374</v>
      </c>
      <c r="J14" s="65">
        <v>3</v>
      </c>
      <c r="K14" s="65">
        <v>2</v>
      </c>
    </row>
    <row r="15" spans="2:11" x14ac:dyDescent="0.15">
      <c r="B15" s="58" t="s">
        <v>21</v>
      </c>
      <c r="C15" s="59">
        <v>4</v>
      </c>
      <c r="D15" s="60" t="s">
        <v>300</v>
      </c>
      <c r="E15" s="60" t="s">
        <v>301</v>
      </c>
      <c r="F15" s="60" t="s">
        <v>9</v>
      </c>
      <c r="G15" s="60">
        <v>3</v>
      </c>
      <c r="I15" s="63" t="s">
        <v>105</v>
      </c>
      <c r="J15" s="50">
        <v>3</v>
      </c>
      <c r="K15" s="50">
        <v>1</v>
      </c>
    </row>
    <row r="16" spans="2:11" x14ac:dyDescent="0.15">
      <c r="B16" s="58" t="s">
        <v>21</v>
      </c>
      <c r="C16" s="59">
        <v>5</v>
      </c>
      <c r="D16" s="60" t="s">
        <v>302</v>
      </c>
      <c r="E16" s="60" t="s">
        <v>112</v>
      </c>
      <c r="F16" s="60" t="s">
        <v>9</v>
      </c>
      <c r="G16" s="60">
        <v>2</v>
      </c>
      <c r="I16" s="63" t="s">
        <v>112</v>
      </c>
      <c r="J16" s="50">
        <v>2</v>
      </c>
      <c r="K16" s="50">
        <v>1</v>
      </c>
    </row>
    <row r="17" spans="2:13" x14ac:dyDescent="0.15">
      <c r="B17" s="58" t="s">
        <v>21</v>
      </c>
      <c r="C17" s="59">
        <v>6</v>
      </c>
      <c r="D17" s="60" t="s">
        <v>303</v>
      </c>
      <c r="E17" s="60" t="s">
        <v>304</v>
      </c>
      <c r="F17" s="60" t="s">
        <v>9</v>
      </c>
      <c r="G17" s="60">
        <v>3</v>
      </c>
      <c r="I17" s="64" t="s">
        <v>374</v>
      </c>
      <c r="J17" s="65">
        <v>3</v>
      </c>
      <c r="K17" s="65">
        <v>2</v>
      </c>
    </row>
    <row r="18" spans="2:13" x14ac:dyDescent="0.15">
      <c r="B18" s="58" t="s">
        <v>21</v>
      </c>
      <c r="C18" s="59">
        <v>7</v>
      </c>
      <c r="D18" s="60" t="s">
        <v>305</v>
      </c>
      <c r="E18" s="60" t="s">
        <v>114</v>
      </c>
      <c r="F18" s="60" t="s">
        <v>14</v>
      </c>
      <c r="G18" s="60">
        <v>3</v>
      </c>
      <c r="I18" s="63" t="s">
        <v>114</v>
      </c>
      <c r="J18" s="50">
        <v>3</v>
      </c>
      <c r="K18" s="50">
        <v>2</v>
      </c>
    </row>
    <row r="19" spans="2:13" x14ac:dyDescent="0.15">
      <c r="B19" s="58" t="s">
        <v>21</v>
      </c>
      <c r="C19" s="59">
        <v>8</v>
      </c>
      <c r="D19" s="60" t="s">
        <v>306</v>
      </c>
      <c r="E19" s="60" t="s">
        <v>117</v>
      </c>
      <c r="F19" s="60" t="s">
        <v>14</v>
      </c>
      <c r="G19" s="60">
        <v>1</v>
      </c>
      <c r="I19" s="63" t="s">
        <v>117</v>
      </c>
      <c r="J19" s="50">
        <v>1</v>
      </c>
      <c r="K19" s="50">
        <v>2</v>
      </c>
    </row>
    <row r="20" spans="2:13" x14ac:dyDescent="0.15">
      <c r="I20" s="68" t="s">
        <v>109</v>
      </c>
      <c r="J20" s="69">
        <v>2</v>
      </c>
      <c r="K20" s="69">
        <v>1</v>
      </c>
      <c r="L20" s="1" t="s">
        <v>377</v>
      </c>
    </row>
    <row r="21" spans="2:13" x14ac:dyDescent="0.15">
      <c r="I21" s="68" t="s">
        <v>113</v>
      </c>
      <c r="J21" s="69">
        <v>2</v>
      </c>
      <c r="K21" s="69">
        <v>2</v>
      </c>
      <c r="L21" s="1" t="s">
        <v>378</v>
      </c>
    </row>
    <row r="22" spans="2:13" x14ac:dyDescent="0.15">
      <c r="I22" s="70" t="s">
        <v>115</v>
      </c>
      <c r="J22" s="69">
        <v>3</v>
      </c>
      <c r="K22" s="69">
        <v>2</v>
      </c>
      <c r="L22" s="1" t="s">
        <v>378</v>
      </c>
    </row>
    <row r="23" spans="2:13" x14ac:dyDescent="0.15">
      <c r="I23" s="70" t="s">
        <v>118</v>
      </c>
      <c r="J23" s="69">
        <v>2</v>
      </c>
      <c r="K23" s="69">
        <v>2</v>
      </c>
      <c r="L23" s="1" t="s">
        <v>378</v>
      </c>
    </row>
    <row r="24" spans="2:13" x14ac:dyDescent="0.15">
      <c r="I24" s="70" t="s">
        <v>120</v>
      </c>
      <c r="J24" s="69">
        <v>3</v>
      </c>
      <c r="K24" s="69">
        <v>2</v>
      </c>
      <c r="L24" s="1" t="s">
        <v>378</v>
      </c>
    </row>
    <row r="28" spans="2:13" x14ac:dyDescent="0.15">
      <c r="B28" s="1" t="s">
        <v>376</v>
      </c>
    </row>
    <row r="29" spans="2:13" x14ac:dyDescent="0.15">
      <c r="B29" s="61" t="s">
        <v>0</v>
      </c>
      <c r="C29" s="61" t="s">
        <v>1</v>
      </c>
      <c r="D29" s="61" t="s">
        <v>2</v>
      </c>
      <c r="E29" s="61" t="s">
        <v>3</v>
      </c>
      <c r="F29" s="61" t="s">
        <v>4</v>
      </c>
      <c r="G29" s="61" t="s">
        <v>5</v>
      </c>
      <c r="J29" s="100" t="s">
        <v>393</v>
      </c>
      <c r="L29" s="100" t="s">
        <v>394</v>
      </c>
    </row>
    <row r="30" spans="2:13" x14ac:dyDescent="0.15">
      <c r="B30" s="52" t="s">
        <v>6</v>
      </c>
      <c r="C30" s="53">
        <v>1</v>
      </c>
      <c r="D30" s="54" t="s">
        <v>284</v>
      </c>
      <c r="E30" s="54" t="s">
        <v>285</v>
      </c>
      <c r="F30" s="54" t="s">
        <v>9</v>
      </c>
      <c r="G30" s="54">
        <v>3</v>
      </c>
      <c r="I30" s="63" t="s">
        <v>108</v>
      </c>
      <c r="J30" s="50">
        <v>3</v>
      </c>
      <c r="K30" s="50">
        <v>1</v>
      </c>
    </row>
    <row r="31" spans="2:13" x14ac:dyDescent="0.15">
      <c r="B31" s="55" t="s">
        <v>6</v>
      </c>
      <c r="C31" s="56">
        <v>2</v>
      </c>
      <c r="D31" s="57" t="s">
        <v>286</v>
      </c>
      <c r="E31" s="57" t="s">
        <v>110</v>
      </c>
      <c r="F31" s="57" t="s">
        <v>9</v>
      </c>
      <c r="G31" s="57">
        <v>3</v>
      </c>
      <c r="I31" s="63" t="s">
        <v>110</v>
      </c>
      <c r="J31" s="50">
        <v>3</v>
      </c>
      <c r="K31" s="50">
        <v>1</v>
      </c>
    </row>
    <row r="32" spans="2:13" x14ac:dyDescent="0.15">
      <c r="B32" s="55" t="s">
        <v>6</v>
      </c>
      <c r="C32" s="56">
        <v>3</v>
      </c>
      <c r="D32" s="57" t="s">
        <v>287</v>
      </c>
      <c r="E32" s="57" t="s">
        <v>288</v>
      </c>
      <c r="F32" s="57" t="s">
        <v>9</v>
      </c>
      <c r="G32" s="57">
        <v>2</v>
      </c>
      <c r="I32" s="64" t="str">
        <f>E32</f>
        <v>Teori Vektor dan Matriks</v>
      </c>
      <c r="L32" s="65">
        <v>2</v>
      </c>
      <c r="M32" s="65">
        <v>1</v>
      </c>
    </row>
    <row r="33" spans="2:13" x14ac:dyDescent="0.15">
      <c r="B33" s="55" t="s">
        <v>6</v>
      </c>
      <c r="C33" s="56">
        <v>4</v>
      </c>
      <c r="D33" s="57" t="s">
        <v>289</v>
      </c>
      <c r="E33" s="57" t="s">
        <v>290</v>
      </c>
      <c r="F33" s="57" t="s">
        <v>9</v>
      </c>
      <c r="G33" s="57">
        <v>2</v>
      </c>
      <c r="I33" s="63" t="s">
        <v>107</v>
      </c>
      <c r="J33" s="50">
        <v>3</v>
      </c>
      <c r="K33" s="50">
        <v>1</v>
      </c>
    </row>
    <row r="34" spans="2:13" x14ac:dyDescent="0.15">
      <c r="B34" s="55" t="s">
        <v>6</v>
      </c>
      <c r="C34" s="56">
        <v>5</v>
      </c>
      <c r="D34" s="57" t="s">
        <v>291</v>
      </c>
      <c r="E34" s="57" t="s">
        <v>292</v>
      </c>
      <c r="F34" s="57" t="s">
        <v>9</v>
      </c>
      <c r="G34" s="57">
        <v>2</v>
      </c>
      <c r="I34" s="63" t="s">
        <v>107</v>
      </c>
      <c r="J34" s="50">
        <v>0</v>
      </c>
      <c r="K34" s="50">
        <v>1</v>
      </c>
    </row>
    <row r="35" spans="2:13" x14ac:dyDescent="0.15">
      <c r="B35" s="55" t="s">
        <v>6</v>
      </c>
      <c r="C35" s="56">
        <v>6</v>
      </c>
      <c r="D35" s="57" t="s">
        <v>293</v>
      </c>
      <c r="E35" s="57" t="s">
        <v>111</v>
      </c>
      <c r="F35" s="57" t="s">
        <v>14</v>
      </c>
      <c r="G35" s="57">
        <v>3</v>
      </c>
      <c r="I35" s="63" t="s">
        <v>111</v>
      </c>
      <c r="J35" s="50">
        <v>3</v>
      </c>
      <c r="K35" s="50">
        <v>1</v>
      </c>
    </row>
    <row r="36" spans="2:13" x14ac:dyDescent="0.15">
      <c r="B36" s="55" t="s">
        <v>6</v>
      </c>
      <c r="C36" s="56">
        <v>7</v>
      </c>
      <c r="D36" s="57" t="s">
        <v>294</v>
      </c>
      <c r="E36" s="57" t="s">
        <v>295</v>
      </c>
      <c r="F36" s="57" t="s">
        <v>24</v>
      </c>
      <c r="G36" s="57">
        <v>2</v>
      </c>
      <c r="I36" s="63" t="s">
        <v>146</v>
      </c>
      <c r="J36" s="50">
        <v>2</v>
      </c>
      <c r="K36" s="50">
        <v>7</v>
      </c>
    </row>
    <row r="37" spans="2:13" x14ac:dyDescent="0.15">
      <c r="B37" s="58" t="s">
        <v>21</v>
      </c>
      <c r="C37" s="59">
        <v>1</v>
      </c>
      <c r="D37" s="60" t="s">
        <v>296</v>
      </c>
      <c r="E37" s="60" t="s">
        <v>119</v>
      </c>
      <c r="F37" s="60" t="s">
        <v>24</v>
      </c>
      <c r="G37" s="60">
        <v>2</v>
      </c>
      <c r="I37" s="63" t="s">
        <v>119</v>
      </c>
      <c r="J37" s="50">
        <v>3</v>
      </c>
      <c r="K37" s="50">
        <v>2</v>
      </c>
    </row>
    <row r="38" spans="2:13" x14ac:dyDescent="0.15">
      <c r="B38" s="58" t="s">
        <v>21</v>
      </c>
      <c r="C38" s="59">
        <v>2</v>
      </c>
      <c r="D38" s="60" t="s">
        <v>297</v>
      </c>
      <c r="E38" s="60" t="s">
        <v>116</v>
      </c>
      <c r="F38" s="60" t="s">
        <v>9</v>
      </c>
      <c r="G38" s="60">
        <v>3</v>
      </c>
      <c r="I38" s="63" t="s">
        <v>116</v>
      </c>
      <c r="J38" s="50">
        <v>3</v>
      </c>
      <c r="K38" s="50">
        <v>2</v>
      </c>
    </row>
    <row r="39" spans="2:13" x14ac:dyDescent="0.15">
      <c r="B39" s="58" t="s">
        <v>21</v>
      </c>
      <c r="C39" s="59">
        <v>3</v>
      </c>
      <c r="D39" s="60" t="s">
        <v>298</v>
      </c>
      <c r="E39" s="60" t="s">
        <v>299</v>
      </c>
      <c r="F39" s="60" t="s">
        <v>9</v>
      </c>
      <c r="G39" s="60">
        <v>3</v>
      </c>
      <c r="I39" s="64" t="str">
        <f>E39</f>
        <v>Analisis Variabel Kompleks</v>
      </c>
      <c r="L39" s="65">
        <v>3</v>
      </c>
      <c r="M39" s="65">
        <v>2</v>
      </c>
    </row>
    <row r="40" spans="2:13" x14ac:dyDescent="0.15">
      <c r="B40" s="58" t="s">
        <v>21</v>
      </c>
      <c r="C40" s="59">
        <v>4</v>
      </c>
      <c r="D40" s="60" t="s">
        <v>300</v>
      </c>
      <c r="E40" s="60" t="s">
        <v>301</v>
      </c>
      <c r="F40" s="60" t="s">
        <v>9</v>
      </c>
      <c r="G40" s="60">
        <v>3</v>
      </c>
      <c r="I40" s="63" t="s">
        <v>105</v>
      </c>
      <c r="J40" s="50">
        <v>3</v>
      </c>
      <c r="K40" s="50">
        <v>1</v>
      </c>
    </row>
    <row r="41" spans="2:13" x14ac:dyDescent="0.15">
      <c r="B41" s="58" t="s">
        <v>21</v>
      </c>
      <c r="C41" s="59">
        <v>5</v>
      </c>
      <c r="D41" s="60" t="s">
        <v>302</v>
      </c>
      <c r="E41" s="60" t="s">
        <v>112</v>
      </c>
      <c r="F41" s="60" t="s">
        <v>9</v>
      </c>
      <c r="G41" s="60">
        <v>2</v>
      </c>
      <c r="I41" s="63" t="s">
        <v>112</v>
      </c>
      <c r="J41" s="50">
        <v>2</v>
      </c>
      <c r="K41" s="50">
        <v>1</v>
      </c>
    </row>
    <row r="42" spans="2:13" x14ac:dyDescent="0.15">
      <c r="B42" s="58" t="s">
        <v>21</v>
      </c>
      <c r="C42" s="59">
        <v>6</v>
      </c>
      <c r="D42" s="60" t="s">
        <v>303</v>
      </c>
      <c r="E42" s="60" t="s">
        <v>304</v>
      </c>
      <c r="F42" s="60" t="s">
        <v>9</v>
      </c>
      <c r="G42" s="60">
        <v>3</v>
      </c>
      <c r="I42" s="64" t="str">
        <f>E42</f>
        <v>Fisika Listrik dan Magnet</v>
      </c>
      <c r="L42" s="65">
        <v>3</v>
      </c>
      <c r="M42" s="65">
        <v>2</v>
      </c>
    </row>
    <row r="43" spans="2:13" x14ac:dyDescent="0.15">
      <c r="B43" s="58" t="s">
        <v>21</v>
      </c>
      <c r="C43" s="59">
        <v>7</v>
      </c>
      <c r="D43" s="60" t="s">
        <v>305</v>
      </c>
      <c r="E43" s="60" t="s">
        <v>114</v>
      </c>
      <c r="F43" s="60" t="s">
        <v>14</v>
      </c>
      <c r="G43" s="60">
        <v>3</v>
      </c>
      <c r="I43" s="63" t="s">
        <v>114</v>
      </c>
      <c r="J43" s="50">
        <v>3</v>
      </c>
      <c r="K43" s="50">
        <v>2</v>
      </c>
    </row>
    <row r="44" spans="2:13" x14ac:dyDescent="0.15">
      <c r="B44" s="58" t="s">
        <v>21</v>
      </c>
      <c r="C44" s="59">
        <v>8</v>
      </c>
      <c r="D44" s="60" t="s">
        <v>306</v>
      </c>
      <c r="E44" s="60" t="s">
        <v>117</v>
      </c>
      <c r="F44" s="60" t="s">
        <v>14</v>
      </c>
      <c r="G44" s="60">
        <v>1</v>
      </c>
      <c r="I44" s="63" t="s">
        <v>117</v>
      </c>
      <c r="J44" s="50">
        <v>1</v>
      </c>
      <c r="K44" s="50">
        <v>2</v>
      </c>
    </row>
    <row r="45" spans="2:13" x14ac:dyDescent="0.15">
      <c r="B45" s="2" t="s">
        <v>38</v>
      </c>
      <c r="C45" s="4">
        <v>1</v>
      </c>
      <c r="D45" s="2" t="s">
        <v>307</v>
      </c>
      <c r="E45" s="2" t="s">
        <v>126</v>
      </c>
      <c r="F45" s="2" t="s">
        <v>9</v>
      </c>
      <c r="G45" s="2">
        <v>3</v>
      </c>
      <c r="I45" s="63" t="s">
        <v>126</v>
      </c>
      <c r="J45" s="50">
        <v>3</v>
      </c>
      <c r="K45" s="50">
        <v>3</v>
      </c>
    </row>
    <row r="46" spans="2:13" x14ac:dyDescent="0.15">
      <c r="B46" s="2" t="s">
        <v>38</v>
      </c>
      <c r="C46" s="4">
        <v>2</v>
      </c>
      <c r="D46" s="2" t="s">
        <v>308</v>
      </c>
      <c r="E46" s="2" t="s">
        <v>124</v>
      </c>
      <c r="F46" s="2" t="s">
        <v>14</v>
      </c>
      <c r="G46" s="2">
        <v>3</v>
      </c>
      <c r="I46" s="63" t="s">
        <v>124</v>
      </c>
      <c r="J46" s="50">
        <v>3</v>
      </c>
      <c r="K46" s="50">
        <v>3</v>
      </c>
    </row>
    <row r="47" spans="2:13" x14ac:dyDescent="0.15">
      <c r="B47" s="2" t="s">
        <v>38</v>
      </c>
      <c r="C47" s="4">
        <v>3</v>
      </c>
      <c r="D47" s="2" t="s">
        <v>309</v>
      </c>
      <c r="E47" s="2" t="s">
        <v>118</v>
      </c>
      <c r="F47" s="2" t="s">
        <v>9</v>
      </c>
      <c r="G47" s="2">
        <v>2</v>
      </c>
      <c r="I47" s="63" t="s">
        <v>118</v>
      </c>
      <c r="J47" s="50">
        <v>2</v>
      </c>
      <c r="K47" s="50">
        <v>2</v>
      </c>
    </row>
    <row r="48" spans="2:13" x14ac:dyDescent="0.15">
      <c r="B48" s="2" t="s">
        <v>38</v>
      </c>
      <c r="C48" s="4">
        <v>4</v>
      </c>
      <c r="D48" s="2" t="s">
        <v>310</v>
      </c>
      <c r="E48" s="2" t="s">
        <v>127</v>
      </c>
      <c r="F48" s="2" t="s">
        <v>14</v>
      </c>
      <c r="G48" s="2">
        <v>1</v>
      </c>
      <c r="I48" s="63" t="s">
        <v>127</v>
      </c>
      <c r="J48" s="50">
        <v>1</v>
      </c>
      <c r="K48" s="50">
        <v>3</v>
      </c>
    </row>
    <row r="49" spans="2:12" x14ac:dyDescent="0.15">
      <c r="B49" s="2" t="s">
        <v>38</v>
      </c>
      <c r="C49" s="4">
        <v>5</v>
      </c>
      <c r="D49" s="2" t="s">
        <v>311</v>
      </c>
      <c r="E49" s="2" t="s">
        <v>121</v>
      </c>
      <c r="F49" s="2" t="s">
        <v>14</v>
      </c>
      <c r="G49" s="2">
        <v>3</v>
      </c>
      <c r="I49" s="63" t="s">
        <v>121</v>
      </c>
      <c r="J49" s="50">
        <v>3</v>
      </c>
      <c r="K49" s="50">
        <v>3</v>
      </c>
    </row>
    <row r="50" spans="2:12" x14ac:dyDescent="0.15">
      <c r="B50" s="2" t="s">
        <v>38</v>
      </c>
      <c r="C50" s="4">
        <v>6</v>
      </c>
      <c r="D50" s="2" t="s">
        <v>312</v>
      </c>
      <c r="E50" s="2" t="s">
        <v>313</v>
      </c>
      <c r="F50" s="2" t="s">
        <v>14</v>
      </c>
      <c r="G50" s="2">
        <v>3</v>
      </c>
      <c r="I50" s="63" t="s">
        <v>135</v>
      </c>
      <c r="J50" s="50">
        <v>3</v>
      </c>
      <c r="K50" s="50">
        <v>4</v>
      </c>
    </row>
    <row r="51" spans="2:12" x14ac:dyDescent="0.15">
      <c r="B51" s="2" t="s">
        <v>38</v>
      </c>
      <c r="C51" s="4">
        <v>7</v>
      </c>
      <c r="D51" s="2" t="s">
        <v>314</v>
      </c>
      <c r="E51" s="2" t="s">
        <v>125</v>
      </c>
      <c r="F51" s="2" t="s">
        <v>14</v>
      </c>
      <c r="G51" s="2">
        <v>3</v>
      </c>
      <c r="I51" s="63" t="s">
        <v>125</v>
      </c>
      <c r="J51" s="50">
        <v>3</v>
      </c>
      <c r="K51" s="50">
        <v>3</v>
      </c>
    </row>
    <row r="52" spans="2:12" x14ac:dyDescent="0.15">
      <c r="B52" s="2" t="s">
        <v>38</v>
      </c>
      <c r="C52" s="4">
        <v>8</v>
      </c>
      <c r="D52" s="2" t="s">
        <v>315</v>
      </c>
      <c r="E52" s="2" t="s">
        <v>115</v>
      </c>
      <c r="F52" s="2" t="s">
        <v>14</v>
      </c>
      <c r="G52" s="2">
        <v>3</v>
      </c>
      <c r="I52" s="63" t="s">
        <v>115</v>
      </c>
      <c r="J52" s="50">
        <v>3</v>
      </c>
      <c r="K52" s="50">
        <v>2</v>
      </c>
    </row>
    <row r="53" spans="2:12" x14ac:dyDescent="0.15">
      <c r="B53" s="3" t="s">
        <v>55</v>
      </c>
      <c r="C53" s="5">
        <v>1</v>
      </c>
      <c r="D53" s="3" t="s">
        <v>316</v>
      </c>
      <c r="E53" s="3" t="s">
        <v>317</v>
      </c>
      <c r="F53" s="3" t="s">
        <v>14</v>
      </c>
      <c r="G53" s="3">
        <v>3</v>
      </c>
      <c r="I53" s="71" t="s">
        <v>392</v>
      </c>
      <c r="J53" s="72">
        <v>3</v>
      </c>
      <c r="K53" s="72">
        <v>5</v>
      </c>
    </row>
    <row r="54" spans="2:12" x14ac:dyDescent="0.15">
      <c r="B54" s="3" t="s">
        <v>55</v>
      </c>
      <c r="C54" s="5">
        <v>2</v>
      </c>
      <c r="D54" s="3" t="s">
        <v>318</v>
      </c>
      <c r="E54" s="3" t="s">
        <v>120</v>
      </c>
      <c r="F54" s="3" t="s">
        <v>14</v>
      </c>
      <c r="G54" s="3">
        <v>3</v>
      </c>
      <c r="I54" s="71" t="s">
        <v>120</v>
      </c>
      <c r="J54" s="72">
        <v>3</v>
      </c>
      <c r="K54" s="72">
        <v>2</v>
      </c>
    </row>
    <row r="55" spans="2:12" x14ac:dyDescent="0.15">
      <c r="B55" s="3" t="s">
        <v>55</v>
      </c>
      <c r="C55" s="5">
        <v>3</v>
      </c>
      <c r="D55" s="3" t="s">
        <v>319</v>
      </c>
      <c r="E55" s="3" t="s">
        <v>320</v>
      </c>
      <c r="F55" s="3" t="s">
        <v>14</v>
      </c>
      <c r="G55" s="3">
        <v>2</v>
      </c>
      <c r="I55" s="71" t="s">
        <v>109</v>
      </c>
      <c r="J55" s="72">
        <v>2</v>
      </c>
      <c r="K55" s="72">
        <v>1</v>
      </c>
    </row>
    <row r="56" spans="2:12" x14ac:dyDescent="0.15">
      <c r="B56" s="3" t="s">
        <v>55</v>
      </c>
      <c r="C56" s="5">
        <v>4</v>
      </c>
      <c r="D56" s="3" t="s">
        <v>321</v>
      </c>
      <c r="E56" s="3" t="s">
        <v>322</v>
      </c>
      <c r="F56" s="3" t="s">
        <v>14</v>
      </c>
      <c r="G56" s="3">
        <v>3</v>
      </c>
      <c r="I56" s="71" t="s">
        <v>123</v>
      </c>
      <c r="J56" s="72">
        <v>3</v>
      </c>
      <c r="K56" s="72">
        <v>3</v>
      </c>
    </row>
    <row r="57" spans="2:12" x14ac:dyDescent="0.15">
      <c r="B57" s="3" t="s">
        <v>55</v>
      </c>
      <c r="C57" s="5">
        <v>5</v>
      </c>
      <c r="D57" s="3" t="s">
        <v>323</v>
      </c>
      <c r="E57" s="3" t="s">
        <v>144</v>
      </c>
      <c r="F57" s="3" t="s">
        <v>14</v>
      </c>
      <c r="G57" s="3">
        <v>3</v>
      </c>
      <c r="I57" s="71" t="s">
        <v>144</v>
      </c>
      <c r="J57" s="72">
        <v>3</v>
      </c>
      <c r="K57" s="72">
        <v>5</v>
      </c>
    </row>
    <row r="58" spans="2:12" x14ac:dyDescent="0.15">
      <c r="B58" s="3" t="s">
        <v>55</v>
      </c>
      <c r="C58" s="5">
        <v>6</v>
      </c>
      <c r="D58" s="3" t="s">
        <v>324</v>
      </c>
      <c r="E58" s="3" t="s">
        <v>122</v>
      </c>
      <c r="F58" s="3" t="s">
        <v>14</v>
      </c>
      <c r="G58" s="3">
        <v>3</v>
      </c>
      <c r="I58" s="71" t="s">
        <v>122</v>
      </c>
      <c r="J58" s="72">
        <v>3</v>
      </c>
      <c r="K58" s="72">
        <v>3</v>
      </c>
    </row>
    <row r="59" spans="2:12" x14ac:dyDescent="0.15">
      <c r="B59" s="3" t="s">
        <v>55</v>
      </c>
      <c r="C59" s="5">
        <v>7</v>
      </c>
      <c r="D59" s="3" t="s">
        <v>325</v>
      </c>
      <c r="E59" s="3" t="s">
        <v>136</v>
      </c>
      <c r="F59" s="3" t="s">
        <v>14</v>
      </c>
      <c r="G59" s="3">
        <v>2</v>
      </c>
      <c r="I59" s="71" t="s">
        <v>136</v>
      </c>
      <c r="J59" s="72">
        <v>2</v>
      </c>
      <c r="K59" s="72">
        <v>4</v>
      </c>
    </row>
    <row r="60" spans="2:12" x14ac:dyDescent="0.15">
      <c r="I60" s="68" t="s">
        <v>113</v>
      </c>
      <c r="J60" s="69">
        <v>2</v>
      </c>
      <c r="K60" s="69">
        <v>2</v>
      </c>
      <c r="L60" s="48" t="s">
        <v>378</v>
      </c>
    </row>
    <row r="61" spans="2:12" x14ac:dyDescent="0.15">
      <c r="I61" s="68" t="s">
        <v>128</v>
      </c>
      <c r="J61" s="69">
        <v>2</v>
      </c>
      <c r="K61" s="69">
        <v>3</v>
      </c>
      <c r="L61" s="48" t="s">
        <v>379</v>
      </c>
    </row>
    <row r="62" spans="2:12" x14ac:dyDescent="0.15">
      <c r="I62" s="68" t="s">
        <v>129</v>
      </c>
      <c r="J62" s="69">
        <v>2</v>
      </c>
      <c r="K62" s="69">
        <v>4</v>
      </c>
      <c r="L62" s="48" t="s">
        <v>378</v>
      </c>
    </row>
    <row r="63" spans="2:12" x14ac:dyDescent="0.15">
      <c r="I63" s="68" t="s">
        <v>131</v>
      </c>
      <c r="J63" s="69">
        <v>3</v>
      </c>
      <c r="K63" s="69">
        <v>4</v>
      </c>
      <c r="L63" s="48" t="s">
        <v>378</v>
      </c>
    </row>
    <row r="64" spans="2:12" x14ac:dyDescent="0.15">
      <c r="I64" s="68" t="s">
        <v>132</v>
      </c>
      <c r="J64" s="69">
        <v>2</v>
      </c>
      <c r="K64" s="69">
        <v>4</v>
      </c>
      <c r="L64" s="48" t="s">
        <v>378</v>
      </c>
    </row>
    <row r="65" spans="2:12" x14ac:dyDescent="0.15">
      <c r="I65" s="68" t="s">
        <v>133</v>
      </c>
      <c r="J65" s="69">
        <v>3</v>
      </c>
      <c r="K65" s="69">
        <v>4</v>
      </c>
      <c r="L65" s="48" t="s">
        <v>378</v>
      </c>
    </row>
    <row r="66" spans="2:12" x14ac:dyDescent="0.15">
      <c r="I66" s="68" t="s">
        <v>134</v>
      </c>
      <c r="J66" s="69">
        <v>3</v>
      </c>
      <c r="K66" s="69">
        <v>4</v>
      </c>
      <c r="L66" s="48" t="s">
        <v>378</v>
      </c>
    </row>
    <row r="68" spans="2:12" x14ac:dyDescent="0.15">
      <c r="L68">
        <f>SUM(I60:J66)</f>
        <v>17</v>
      </c>
    </row>
    <row r="69" spans="2:12" x14ac:dyDescent="0.15">
      <c r="B69" s="1" t="s">
        <v>380</v>
      </c>
    </row>
    <row r="70" spans="2:12" x14ac:dyDescent="0.15">
      <c r="B70" s="61" t="s">
        <v>0</v>
      </c>
      <c r="C70" s="61" t="s">
        <v>1</v>
      </c>
      <c r="D70" s="61" t="s">
        <v>2</v>
      </c>
      <c r="E70" s="61" t="s">
        <v>3</v>
      </c>
      <c r="F70" s="61" t="s">
        <v>4</v>
      </c>
      <c r="G70" s="61" t="s">
        <v>5</v>
      </c>
    </row>
    <row r="71" spans="2:12" x14ac:dyDescent="0.15">
      <c r="B71" s="52" t="s">
        <v>6</v>
      </c>
      <c r="C71" s="53">
        <v>1</v>
      </c>
      <c r="D71" s="54" t="s">
        <v>284</v>
      </c>
      <c r="E71" s="54" t="s">
        <v>285</v>
      </c>
      <c r="F71" s="54" t="s">
        <v>9</v>
      </c>
      <c r="G71" s="54">
        <v>3</v>
      </c>
      <c r="I71" s="63" t="s">
        <v>108</v>
      </c>
      <c r="J71" s="50">
        <v>3</v>
      </c>
      <c r="K71" s="50">
        <v>1</v>
      </c>
    </row>
    <row r="72" spans="2:12" x14ac:dyDescent="0.15">
      <c r="B72" s="55" t="s">
        <v>6</v>
      </c>
      <c r="C72" s="56">
        <v>2</v>
      </c>
      <c r="D72" s="57" t="s">
        <v>286</v>
      </c>
      <c r="E72" s="57" t="s">
        <v>110</v>
      </c>
      <c r="F72" s="57" t="s">
        <v>9</v>
      </c>
      <c r="G72" s="57">
        <v>3</v>
      </c>
      <c r="I72" s="63" t="s">
        <v>110</v>
      </c>
      <c r="J72" s="50">
        <v>3</v>
      </c>
      <c r="K72" s="50">
        <v>1</v>
      </c>
    </row>
    <row r="73" spans="2:12" x14ac:dyDescent="0.15">
      <c r="B73" s="55" t="s">
        <v>6</v>
      </c>
      <c r="C73" s="56">
        <v>3</v>
      </c>
      <c r="D73" s="57" t="s">
        <v>287</v>
      </c>
      <c r="E73" s="57" t="s">
        <v>288</v>
      </c>
      <c r="F73" s="57" t="s">
        <v>9</v>
      </c>
      <c r="G73" s="57">
        <v>2</v>
      </c>
      <c r="I73" s="73" t="s">
        <v>374</v>
      </c>
      <c r="J73" s="74">
        <v>2</v>
      </c>
      <c r="K73" s="74">
        <v>1</v>
      </c>
    </row>
    <row r="74" spans="2:12" x14ac:dyDescent="0.15">
      <c r="B74" s="55" t="s">
        <v>6</v>
      </c>
      <c r="C74" s="56">
        <v>4</v>
      </c>
      <c r="D74" s="57" t="s">
        <v>289</v>
      </c>
      <c r="E74" s="57" t="s">
        <v>290</v>
      </c>
      <c r="F74" s="57" t="s">
        <v>9</v>
      </c>
      <c r="G74" s="57">
        <v>2</v>
      </c>
      <c r="I74" s="63" t="s">
        <v>107</v>
      </c>
      <c r="J74" s="50">
        <v>3</v>
      </c>
      <c r="K74" s="50">
        <v>1</v>
      </c>
    </row>
    <row r="75" spans="2:12" x14ac:dyDescent="0.15">
      <c r="B75" s="55" t="s">
        <v>6</v>
      </c>
      <c r="C75" s="56">
        <v>5</v>
      </c>
      <c r="D75" s="57" t="s">
        <v>291</v>
      </c>
      <c r="E75" s="57" t="s">
        <v>292</v>
      </c>
      <c r="F75" s="57" t="s">
        <v>9</v>
      </c>
      <c r="G75" s="57">
        <v>2</v>
      </c>
      <c r="I75" s="63" t="s">
        <v>107</v>
      </c>
      <c r="J75" s="50">
        <v>0</v>
      </c>
      <c r="K75" s="50">
        <v>1</v>
      </c>
    </row>
    <row r="76" spans="2:12" x14ac:dyDescent="0.15">
      <c r="B76" s="55" t="s">
        <v>6</v>
      </c>
      <c r="C76" s="56">
        <v>6</v>
      </c>
      <c r="D76" s="57" t="s">
        <v>293</v>
      </c>
      <c r="E76" s="57" t="s">
        <v>111</v>
      </c>
      <c r="F76" s="57" t="s">
        <v>14</v>
      </c>
      <c r="G76" s="57">
        <v>3</v>
      </c>
      <c r="I76" s="63" t="s">
        <v>375</v>
      </c>
      <c r="J76" s="50">
        <v>3</v>
      </c>
      <c r="K76" s="50">
        <v>1</v>
      </c>
    </row>
    <row r="77" spans="2:12" x14ac:dyDescent="0.15">
      <c r="B77" s="55" t="s">
        <v>6</v>
      </c>
      <c r="C77" s="56">
        <v>7</v>
      </c>
      <c r="D77" s="57" t="s">
        <v>294</v>
      </c>
      <c r="E77" s="57" t="s">
        <v>295</v>
      </c>
      <c r="F77" s="57" t="s">
        <v>24</v>
      </c>
      <c r="G77" s="57">
        <v>2</v>
      </c>
      <c r="I77" s="63" t="s">
        <v>146</v>
      </c>
      <c r="J77" s="50">
        <v>2</v>
      </c>
      <c r="K77" s="50">
        <v>7</v>
      </c>
    </row>
    <row r="78" spans="2:12" x14ac:dyDescent="0.15">
      <c r="B78" s="58" t="s">
        <v>21</v>
      </c>
      <c r="C78" s="59">
        <v>1</v>
      </c>
      <c r="D78" s="60" t="s">
        <v>296</v>
      </c>
      <c r="E78" s="60" t="s">
        <v>119</v>
      </c>
      <c r="F78" s="60" t="s">
        <v>24</v>
      </c>
      <c r="G78" s="60">
        <v>2</v>
      </c>
      <c r="I78" s="71" t="s">
        <v>119</v>
      </c>
      <c r="J78" s="72">
        <v>3</v>
      </c>
      <c r="K78" s="72">
        <v>2</v>
      </c>
    </row>
    <row r="79" spans="2:12" x14ac:dyDescent="0.15">
      <c r="B79" s="58" t="s">
        <v>21</v>
      </c>
      <c r="C79" s="59">
        <v>2</v>
      </c>
      <c r="D79" s="60" t="s">
        <v>297</v>
      </c>
      <c r="E79" s="60" t="s">
        <v>116</v>
      </c>
      <c r="F79" s="60" t="s">
        <v>9</v>
      </c>
      <c r="G79" s="60">
        <v>3</v>
      </c>
      <c r="I79" s="71" t="s">
        <v>116</v>
      </c>
      <c r="J79" s="72">
        <v>3</v>
      </c>
      <c r="K79" s="72">
        <v>2</v>
      </c>
    </row>
    <row r="80" spans="2:12" x14ac:dyDescent="0.15">
      <c r="B80" s="58" t="s">
        <v>21</v>
      </c>
      <c r="C80" s="59">
        <v>3</v>
      </c>
      <c r="D80" s="60" t="s">
        <v>298</v>
      </c>
      <c r="E80" s="60" t="s">
        <v>299</v>
      </c>
      <c r="F80" s="60" t="s">
        <v>9</v>
      </c>
      <c r="G80" s="60">
        <v>3</v>
      </c>
      <c r="I80" s="73" t="s">
        <v>374</v>
      </c>
      <c r="J80" s="74">
        <v>3</v>
      </c>
      <c r="K80" s="74">
        <v>2</v>
      </c>
    </row>
    <row r="81" spans="2:11" x14ac:dyDescent="0.15">
      <c r="B81" s="58" t="s">
        <v>21</v>
      </c>
      <c r="C81" s="59">
        <v>4</v>
      </c>
      <c r="D81" s="60" t="s">
        <v>300</v>
      </c>
      <c r="E81" s="60" t="s">
        <v>301</v>
      </c>
      <c r="F81" s="60" t="s">
        <v>9</v>
      </c>
      <c r="G81" s="60">
        <v>3</v>
      </c>
      <c r="I81" s="71" t="s">
        <v>105</v>
      </c>
      <c r="J81" s="72">
        <v>3</v>
      </c>
      <c r="K81" s="72">
        <v>1</v>
      </c>
    </row>
    <row r="82" spans="2:11" x14ac:dyDescent="0.15">
      <c r="B82" s="58" t="s">
        <v>21</v>
      </c>
      <c r="C82" s="59">
        <v>5</v>
      </c>
      <c r="D82" s="60" t="s">
        <v>302</v>
      </c>
      <c r="E82" s="60" t="s">
        <v>112</v>
      </c>
      <c r="F82" s="60" t="s">
        <v>9</v>
      </c>
      <c r="G82" s="60">
        <v>2</v>
      </c>
      <c r="I82" s="71" t="s">
        <v>112</v>
      </c>
      <c r="J82" s="72">
        <v>2</v>
      </c>
      <c r="K82" s="72">
        <v>1</v>
      </c>
    </row>
    <row r="83" spans="2:11" x14ac:dyDescent="0.15">
      <c r="B83" s="58" t="s">
        <v>21</v>
      </c>
      <c r="C83" s="59">
        <v>6</v>
      </c>
      <c r="D83" s="60" t="s">
        <v>303</v>
      </c>
      <c r="E83" s="60" t="s">
        <v>304</v>
      </c>
      <c r="F83" s="60" t="s">
        <v>9</v>
      </c>
      <c r="G83" s="60">
        <v>3</v>
      </c>
      <c r="I83" s="73" t="s">
        <v>374</v>
      </c>
      <c r="J83" s="74">
        <v>3</v>
      </c>
      <c r="K83" s="74">
        <v>2</v>
      </c>
    </row>
    <row r="84" spans="2:11" x14ac:dyDescent="0.15">
      <c r="B84" s="58" t="s">
        <v>21</v>
      </c>
      <c r="C84" s="59">
        <v>7</v>
      </c>
      <c r="D84" s="60" t="s">
        <v>305</v>
      </c>
      <c r="E84" s="60" t="s">
        <v>114</v>
      </c>
      <c r="F84" s="60" t="s">
        <v>14</v>
      </c>
      <c r="G84" s="60">
        <v>3</v>
      </c>
      <c r="I84" s="71" t="s">
        <v>114</v>
      </c>
      <c r="J84" s="72">
        <v>3</v>
      </c>
      <c r="K84" s="72">
        <v>2</v>
      </c>
    </row>
    <row r="85" spans="2:11" x14ac:dyDescent="0.15">
      <c r="B85" s="58" t="s">
        <v>21</v>
      </c>
      <c r="C85" s="59">
        <v>8</v>
      </c>
      <c r="D85" s="60" t="s">
        <v>306</v>
      </c>
      <c r="E85" s="60" t="s">
        <v>117</v>
      </c>
      <c r="F85" s="60" t="s">
        <v>14</v>
      </c>
      <c r="G85" s="60">
        <v>1</v>
      </c>
      <c r="I85" s="71" t="s">
        <v>117</v>
      </c>
      <c r="J85" s="72">
        <v>1</v>
      </c>
      <c r="K85" s="72">
        <v>2</v>
      </c>
    </row>
    <row r="86" spans="2:11" x14ac:dyDescent="0.15">
      <c r="B86" s="2" t="s">
        <v>38</v>
      </c>
      <c r="C86" s="4">
        <v>1</v>
      </c>
      <c r="D86" s="2" t="s">
        <v>307</v>
      </c>
      <c r="E86" s="2" t="s">
        <v>126</v>
      </c>
      <c r="F86" s="2" t="s">
        <v>9</v>
      </c>
      <c r="G86" s="2">
        <v>3</v>
      </c>
      <c r="I86" s="63" t="s">
        <v>126</v>
      </c>
      <c r="J86" s="50">
        <v>3</v>
      </c>
      <c r="K86" s="50">
        <v>3</v>
      </c>
    </row>
    <row r="87" spans="2:11" x14ac:dyDescent="0.15">
      <c r="B87" s="2" t="s">
        <v>38</v>
      </c>
      <c r="C87" s="4">
        <v>2</v>
      </c>
      <c r="D87" s="2" t="s">
        <v>308</v>
      </c>
      <c r="E87" s="2" t="s">
        <v>124</v>
      </c>
      <c r="F87" s="2" t="s">
        <v>14</v>
      </c>
      <c r="G87" s="2">
        <v>3</v>
      </c>
      <c r="I87" s="63" t="s">
        <v>124</v>
      </c>
      <c r="J87" s="50">
        <v>3</v>
      </c>
      <c r="K87" s="50">
        <v>3</v>
      </c>
    </row>
    <row r="88" spans="2:11" x14ac:dyDescent="0.15">
      <c r="B88" s="2" t="s">
        <v>38</v>
      </c>
      <c r="C88" s="4">
        <v>3</v>
      </c>
      <c r="D88" s="2" t="s">
        <v>309</v>
      </c>
      <c r="E88" s="2" t="s">
        <v>118</v>
      </c>
      <c r="F88" s="2" t="s">
        <v>9</v>
      </c>
      <c r="G88" s="2">
        <v>2</v>
      </c>
      <c r="I88" s="63" t="s">
        <v>118</v>
      </c>
      <c r="J88" s="50">
        <v>2</v>
      </c>
      <c r="K88" s="50">
        <v>2</v>
      </c>
    </row>
    <row r="89" spans="2:11" x14ac:dyDescent="0.15">
      <c r="B89" s="2" t="s">
        <v>38</v>
      </c>
      <c r="C89" s="4">
        <v>4</v>
      </c>
      <c r="D89" s="2" t="s">
        <v>310</v>
      </c>
      <c r="E89" s="2" t="s">
        <v>127</v>
      </c>
      <c r="F89" s="2" t="s">
        <v>14</v>
      </c>
      <c r="G89" s="2">
        <v>1</v>
      </c>
      <c r="I89" s="63" t="s">
        <v>127</v>
      </c>
      <c r="J89" s="50">
        <v>1</v>
      </c>
      <c r="K89" s="50">
        <v>3</v>
      </c>
    </row>
    <row r="90" spans="2:11" x14ac:dyDescent="0.15">
      <c r="B90" s="2" t="s">
        <v>38</v>
      </c>
      <c r="C90" s="4">
        <v>5</v>
      </c>
      <c r="D90" s="2" t="s">
        <v>311</v>
      </c>
      <c r="E90" s="2" t="s">
        <v>121</v>
      </c>
      <c r="F90" s="2" t="s">
        <v>14</v>
      </c>
      <c r="G90" s="2">
        <v>3</v>
      </c>
      <c r="I90" s="63" t="s">
        <v>121</v>
      </c>
      <c r="J90" s="50">
        <v>3</v>
      </c>
      <c r="K90" s="50">
        <v>3</v>
      </c>
    </row>
    <row r="91" spans="2:11" x14ac:dyDescent="0.15">
      <c r="B91" s="2" t="s">
        <v>38</v>
      </c>
      <c r="C91" s="4">
        <v>6</v>
      </c>
      <c r="D91" s="2" t="s">
        <v>312</v>
      </c>
      <c r="E91" s="2" t="s">
        <v>313</v>
      </c>
      <c r="F91" s="2" t="s">
        <v>14</v>
      </c>
      <c r="G91" s="2">
        <v>3</v>
      </c>
      <c r="I91" s="63" t="s">
        <v>135</v>
      </c>
      <c r="J91" s="50">
        <v>3</v>
      </c>
      <c r="K91" s="50">
        <v>4</v>
      </c>
    </row>
    <row r="92" spans="2:11" x14ac:dyDescent="0.15">
      <c r="B92" s="2" t="s">
        <v>38</v>
      </c>
      <c r="C92" s="4">
        <v>7</v>
      </c>
      <c r="D92" s="2" t="s">
        <v>314</v>
      </c>
      <c r="E92" s="2" t="s">
        <v>125</v>
      </c>
      <c r="F92" s="2" t="s">
        <v>14</v>
      </c>
      <c r="G92" s="2">
        <v>3</v>
      </c>
      <c r="I92" s="63" t="s">
        <v>125</v>
      </c>
      <c r="J92" s="50">
        <v>3</v>
      </c>
      <c r="K92" s="50">
        <v>3</v>
      </c>
    </row>
    <row r="93" spans="2:11" x14ac:dyDescent="0.15">
      <c r="B93" s="2" t="s">
        <v>38</v>
      </c>
      <c r="C93" s="4">
        <v>8</v>
      </c>
      <c r="D93" s="2" t="s">
        <v>315</v>
      </c>
      <c r="E93" s="2" t="s">
        <v>115</v>
      </c>
      <c r="F93" s="2" t="s">
        <v>14</v>
      </c>
      <c r="G93" s="2">
        <v>3</v>
      </c>
      <c r="I93" s="63" t="s">
        <v>115</v>
      </c>
      <c r="J93" s="50">
        <v>3</v>
      </c>
      <c r="K93" s="50">
        <v>2</v>
      </c>
    </row>
    <row r="94" spans="2:11" x14ac:dyDescent="0.15">
      <c r="B94" s="3" t="s">
        <v>55</v>
      </c>
      <c r="C94" s="5">
        <v>1</v>
      </c>
      <c r="D94" s="3" t="s">
        <v>316</v>
      </c>
      <c r="E94" s="3" t="s">
        <v>317</v>
      </c>
      <c r="F94" s="3" t="s">
        <v>14</v>
      </c>
      <c r="G94" s="3">
        <v>3</v>
      </c>
      <c r="I94" s="71" t="s">
        <v>138</v>
      </c>
      <c r="J94" s="72">
        <v>3</v>
      </c>
      <c r="K94" s="72">
        <v>5</v>
      </c>
    </row>
    <row r="95" spans="2:11" x14ac:dyDescent="0.15">
      <c r="B95" s="3" t="s">
        <v>55</v>
      </c>
      <c r="C95" s="5">
        <v>2</v>
      </c>
      <c r="D95" s="3" t="s">
        <v>318</v>
      </c>
      <c r="E95" s="3" t="s">
        <v>120</v>
      </c>
      <c r="F95" s="3" t="s">
        <v>14</v>
      </c>
      <c r="G95" s="3">
        <v>3</v>
      </c>
      <c r="I95" s="71" t="s">
        <v>120</v>
      </c>
      <c r="J95" s="72">
        <v>3</v>
      </c>
      <c r="K95" s="72">
        <v>2</v>
      </c>
    </row>
    <row r="96" spans="2:11" x14ac:dyDescent="0.15">
      <c r="B96" s="3" t="s">
        <v>55</v>
      </c>
      <c r="C96" s="5">
        <v>3</v>
      </c>
      <c r="D96" s="3" t="s">
        <v>319</v>
      </c>
      <c r="E96" s="3" t="s">
        <v>320</v>
      </c>
      <c r="F96" s="3" t="s">
        <v>14</v>
      </c>
      <c r="G96" s="3">
        <v>2</v>
      </c>
      <c r="I96" s="71" t="s">
        <v>109</v>
      </c>
      <c r="J96" s="72">
        <v>2</v>
      </c>
      <c r="K96" s="72">
        <v>1</v>
      </c>
    </row>
    <row r="97" spans="2:11" x14ac:dyDescent="0.15">
      <c r="B97" s="3" t="s">
        <v>55</v>
      </c>
      <c r="C97" s="5">
        <v>4</v>
      </c>
      <c r="D97" s="3" t="s">
        <v>321</v>
      </c>
      <c r="E97" s="3" t="s">
        <v>322</v>
      </c>
      <c r="F97" s="3" t="s">
        <v>14</v>
      </c>
      <c r="G97" s="3">
        <v>3</v>
      </c>
      <c r="I97" s="71" t="s">
        <v>123</v>
      </c>
      <c r="J97" s="72">
        <v>3</v>
      </c>
      <c r="K97" s="72">
        <v>3</v>
      </c>
    </row>
    <row r="98" spans="2:11" x14ac:dyDescent="0.15">
      <c r="B98" s="3" t="s">
        <v>55</v>
      </c>
      <c r="C98" s="5">
        <v>5</v>
      </c>
      <c r="D98" s="3" t="s">
        <v>323</v>
      </c>
      <c r="E98" s="3" t="s">
        <v>144</v>
      </c>
      <c r="F98" s="3" t="s">
        <v>14</v>
      </c>
      <c r="G98" s="3">
        <v>3</v>
      </c>
      <c r="I98" s="71" t="s">
        <v>144</v>
      </c>
      <c r="J98" s="72">
        <v>3</v>
      </c>
      <c r="K98" s="72">
        <v>5</v>
      </c>
    </row>
    <row r="99" spans="2:11" x14ac:dyDescent="0.15">
      <c r="B99" s="3" t="s">
        <v>55</v>
      </c>
      <c r="C99" s="5">
        <v>6</v>
      </c>
      <c r="D99" s="3" t="s">
        <v>324</v>
      </c>
      <c r="E99" s="3" t="s">
        <v>122</v>
      </c>
      <c r="F99" s="3" t="s">
        <v>14</v>
      </c>
      <c r="G99" s="3">
        <v>3</v>
      </c>
      <c r="I99" s="71" t="s">
        <v>122</v>
      </c>
      <c r="J99" s="72">
        <v>3</v>
      </c>
      <c r="K99" s="72">
        <v>3</v>
      </c>
    </row>
    <row r="100" spans="2:11" x14ac:dyDescent="0.15">
      <c r="B100" s="3" t="s">
        <v>55</v>
      </c>
      <c r="C100" s="5">
        <v>7</v>
      </c>
      <c r="D100" s="3" t="s">
        <v>325</v>
      </c>
      <c r="E100" s="3" t="s">
        <v>136</v>
      </c>
      <c r="F100" s="3" t="s">
        <v>14</v>
      </c>
      <c r="G100" s="3">
        <v>2</v>
      </c>
      <c r="I100" s="71" t="s">
        <v>136</v>
      </c>
      <c r="J100" s="72">
        <v>2</v>
      </c>
      <c r="K100" s="72">
        <v>4</v>
      </c>
    </row>
    <row r="101" spans="2:11" x14ac:dyDescent="0.15">
      <c r="B101" s="2" t="s">
        <v>71</v>
      </c>
      <c r="C101" s="4">
        <v>1</v>
      </c>
      <c r="D101" s="2" t="s">
        <v>326</v>
      </c>
      <c r="E101" s="2" t="s">
        <v>327</v>
      </c>
      <c r="F101" s="2" t="s">
        <v>14</v>
      </c>
      <c r="G101" s="2">
        <v>2</v>
      </c>
      <c r="I101" s="63" t="s">
        <v>327</v>
      </c>
      <c r="J101" s="50">
        <v>2</v>
      </c>
      <c r="K101" s="50">
        <v>5</v>
      </c>
    </row>
    <row r="102" spans="2:11" x14ac:dyDescent="0.15">
      <c r="B102" s="2" t="s">
        <v>71</v>
      </c>
      <c r="C102" s="4">
        <v>2</v>
      </c>
      <c r="D102" s="2" t="s">
        <v>328</v>
      </c>
      <c r="E102" s="2" t="s">
        <v>128</v>
      </c>
      <c r="F102" s="2" t="s">
        <v>14</v>
      </c>
      <c r="G102" s="2">
        <v>3</v>
      </c>
      <c r="I102" s="63" t="s">
        <v>128</v>
      </c>
      <c r="J102" s="50">
        <v>2</v>
      </c>
      <c r="K102" s="50">
        <v>3</v>
      </c>
    </row>
    <row r="103" spans="2:11" x14ac:dyDescent="0.15">
      <c r="B103" s="2" t="s">
        <v>71</v>
      </c>
      <c r="C103" s="4">
        <v>3</v>
      </c>
      <c r="D103" s="2" t="s">
        <v>329</v>
      </c>
      <c r="E103" s="2" t="s">
        <v>132</v>
      </c>
      <c r="F103" s="2" t="s">
        <v>14</v>
      </c>
      <c r="G103" s="2">
        <v>2</v>
      </c>
      <c r="I103" s="63" t="s">
        <v>132</v>
      </c>
      <c r="J103" s="50">
        <v>2</v>
      </c>
      <c r="K103" s="50">
        <v>4</v>
      </c>
    </row>
    <row r="104" spans="2:11" x14ac:dyDescent="0.15">
      <c r="B104" s="2" t="s">
        <v>71</v>
      </c>
      <c r="C104" s="4">
        <v>4</v>
      </c>
      <c r="D104" s="2" t="s">
        <v>330</v>
      </c>
      <c r="E104" s="2" t="s">
        <v>134</v>
      </c>
      <c r="F104" s="2" t="s">
        <v>14</v>
      </c>
      <c r="G104" s="2">
        <v>3</v>
      </c>
      <c r="I104" s="63" t="s">
        <v>134</v>
      </c>
      <c r="J104" s="50">
        <v>3</v>
      </c>
      <c r="K104" s="50">
        <v>4</v>
      </c>
    </row>
    <row r="105" spans="2:11" x14ac:dyDescent="0.15">
      <c r="B105" s="2" t="s">
        <v>71</v>
      </c>
      <c r="C105" s="4">
        <v>5</v>
      </c>
      <c r="D105" s="2" t="s">
        <v>331</v>
      </c>
      <c r="E105" s="2" t="s">
        <v>133</v>
      </c>
      <c r="F105" s="2" t="s">
        <v>14</v>
      </c>
      <c r="G105" s="2">
        <v>3</v>
      </c>
      <c r="I105" s="63" t="s">
        <v>133</v>
      </c>
      <c r="J105" s="50">
        <v>3</v>
      </c>
      <c r="K105" s="50">
        <v>4</v>
      </c>
    </row>
    <row r="106" spans="2:11" x14ac:dyDescent="0.15">
      <c r="B106" s="2" t="s">
        <v>71</v>
      </c>
      <c r="C106" s="4">
        <v>6</v>
      </c>
      <c r="D106" s="2" t="s">
        <v>332</v>
      </c>
      <c r="E106" s="2" t="s">
        <v>131</v>
      </c>
      <c r="F106" s="2" t="s">
        <v>14</v>
      </c>
      <c r="G106" s="2">
        <v>3</v>
      </c>
      <c r="I106" s="63" t="s">
        <v>131</v>
      </c>
      <c r="J106" s="50">
        <v>3</v>
      </c>
      <c r="K106" s="50">
        <v>4</v>
      </c>
    </row>
    <row r="107" spans="2:11" x14ac:dyDescent="0.15">
      <c r="B107" s="2" t="s">
        <v>71</v>
      </c>
      <c r="C107" s="4">
        <v>7</v>
      </c>
      <c r="D107" s="2" t="s">
        <v>333</v>
      </c>
      <c r="E107" s="2" t="s">
        <v>129</v>
      </c>
      <c r="F107" s="2" t="s">
        <v>14</v>
      </c>
      <c r="G107" s="2">
        <v>2</v>
      </c>
      <c r="I107" s="63" t="s">
        <v>129</v>
      </c>
      <c r="J107" s="50">
        <v>3</v>
      </c>
      <c r="K107" s="50">
        <v>4</v>
      </c>
    </row>
    <row r="108" spans="2:11" x14ac:dyDescent="0.15">
      <c r="B108" s="2" t="s">
        <v>71</v>
      </c>
      <c r="C108" s="4">
        <v>8</v>
      </c>
      <c r="D108" s="2" t="s">
        <v>334</v>
      </c>
      <c r="E108" s="2" t="s">
        <v>147</v>
      </c>
      <c r="F108" s="2" t="s">
        <v>14</v>
      </c>
      <c r="G108" s="2">
        <v>3</v>
      </c>
      <c r="I108" s="63" t="s">
        <v>381</v>
      </c>
      <c r="J108" s="50">
        <v>3</v>
      </c>
      <c r="K108" s="50">
        <v>7</v>
      </c>
    </row>
    <row r="109" spans="2:11" x14ac:dyDescent="0.15">
      <c r="B109" s="3" t="s">
        <v>85</v>
      </c>
      <c r="C109" s="5">
        <v>1</v>
      </c>
      <c r="D109" s="3" t="s">
        <v>335</v>
      </c>
      <c r="E109" s="3" t="s">
        <v>143</v>
      </c>
      <c r="F109" s="3" t="s">
        <v>14</v>
      </c>
      <c r="G109" s="3">
        <v>3</v>
      </c>
      <c r="I109" s="71" t="s">
        <v>143</v>
      </c>
      <c r="J109" s="72">
        <v>3</v>
      </c>
      <c r="K109" s="72">
        <v>5</v>
      </c>
    </row>
    <row r="110" spans="2:11" x14ac:dyDescent="0.15">
      <c r="B110" s="3" t="s">
        <v>85</v>
      </c>
      <c r="C110" s="5">
        <v>2</v>
      </c>
      <c r="D110" s="3" t="s">
        <v>336</v>
      </c>
      <c r="E110" s="3" t="s">
        <v>153</v>
      </c>
      <c r="F110" s="3" t="s">
        <v>14</v>
      </c>
      <c r="G110" s="3">
        <v>2</v>
      </c>
      <c r="I110" s="71" t="s">
        <v>153</v>
      </c>
      <c r="J110" s="72">
        <v>2</v>
      </c>
      <c r="K110" s="72">
        <v>7</v>
      </c>
    </row>
    <row r="111" spans="2:11" x14ac:dyDescent="0.15">
      <c r="B111" s="3" t="s">
        <v>85</v>
      </c>
      <c r="C111" s="5">
        <v>3</v>
      </c>
      <c r="D111" s="3" t="s">
        <v>337</v>
      </c>
      <c r="E111" s="3" t="s">
        <v>338</v>
      </c>
      <c r="F111" s="3" t="s">
        <v>14</v>
      </c>
      <c r="G111" s="3">
        <v>3</v>
      </c>
      <c r="I111" s="71" t="s">
        <v>139</v>
      </c>
      <c r="J111" s="72">
        <v>3</v>
      </c>
      <c r="K111" s="72">
        <v>5</v>
      </c>
    </row>
    <row r="112" spans="2:11" x14ac:dyDescent="0.15">
      <c r="B112" s="3" t="s">
        <v>85</v>
      </c>
      <c r="C112" s="5">
        <v>4</v>
      </c>
      <c r="D112" s="3" t="s">
        <v>339</v>
      </c>
      <c r="E112" s="3" t="s">
        <v>231</v>
      </c>
      <c r="F112" s="3" t="s">
        <v>14</v>
      </c>
      <c r="G112" s="3">
        <v>2</v>
      </c>
      <c r="I112" s="71" t="s">
        <v>231</v>
      </c>
      <c r="J112" s="72">
        <v>3</v>
      </c>
      <c r="K112" s="72">
        <v>6</v>
      </c>
    </row>
    <row r="113" spans="2:12" x14ac:dyDescent="0.15">
      <c r="B113" s="3" t="s">
        <v>85</v>
      </c>
      <c r="C113" s="5">
        <v>5</v>
      </c>
      <c r="D113" s="3" t="s">
        <v>340</v>
      </c>
      <c r="E113" s="3" t="s">
        <v>142</v>
      </c>
      <c r="F113" s="3" t="s">
        <v>24</v>
      </c>
      <c r="G113" s="3">
        <v>2</v>
      </c>
      <c r="I113" s="71" t="s">
        <v>142</v>
      </c>
      <c r="J113" s="72">
        <v>2</v>
      </c>
      <c r="K113" s="72">
        <v>5</v>
      </c>
    </row>
    <row r="114" spans="2:12" x14ac:dyDescent="0.15">
      <c r="B114" s="3" t="s">
        <v>85</v>
      </c>
      <c r="C114" s="5">
        <v>6</v>
      </c>
      <c r="D114" s="3" t="s">
        <v>341</v>
      </c>
      <c r="E114" s="3" t="s">
        <v>342</v>
      </c>
      <c r="F114" s="3" t="s">
        <v>24</v>
      </c>
      <c r="G114" s="3">
        <v>2</v>
      </c>
      <c r="I114" s="71" t="s">
        <v>137</v>
      </c>
      <c r="J114" s="72">
        <v>2</v>
      </c>
      <c r="K114" s="72">
        <v>5</v>
      </c>
    </row>
    <row r="115" spans="2:12" x14ac:dyDescent="0.15">
      <c r="B115" s="3" t="s">
        <v>85</v>
      </c>
      <c r="C115" s="5">
        <v>7</v>
      </c>
      <c r="D115" s="3" t="s">
        <v>343</v>
      </c>
      <c r="E115" s="3" t="s">
        <v>141</v>
      </c>
      <c r="F115" s="3" t="s">
        <v>24</v>
      </c>
      <c r="G115" s="3">
        <v>2</v>
      </c>
      <c r="I115" s="71" t="s">
        <v>141</v>
      </c>
      <c r="J115" s="72">
        <v>2</v>
      </c>
      <c r="K115" s="72">
        <v>5</v>
      </c>
    </row>
    <row r="116" spans="2:12" x14ac:dyDescent="0.15">
      <c r="B116" s="3" t="s">
        <v>85</v>
      </c>
      <c r="C116" s="5">
        <v>8</v>
      </c>
      <c r="D116" s="3" t="s">
        <v>344</v>
      </c>
      <c r="E116" s="3" t="s">
        <v>113</v>
      </c>
      <c r="F116" s="3" t="s">
        <v>24</v>
      </c>
      <c r="G116" s="3">
        <v>2</v>
      </c>
      <c r="I116" s="71" t="s">
        <v>113</v>
      </c>
      <c r="J116" s="72">
        <v>2</v>
      </c>
      <c r="K116" s="72">
        <v>2</v>
      </c>
    </row>
    <row r="117" spans="2:12" x14ac:dyDescent="0.15">
      <c r="I117" s="75" t="s">
        <v>247</v>
      </c>
      <c r="J117" s="76">
        <v>2</v>
      </c>
      <c r="K117" s="76">
        <v>6</v>
      </c>
    </row>
    <row r="118" spans="2:12" x14ac:dyDescent="0.15">
      <c r="I118" s="75" t="s">
        <v>245</v>
      </c>
      <c r="J118" s="76">
        <v>3</v>
      </c>
      <c r="K118" s="76">
        <v>6</v>
      </c>
    </row>
    <row r="119" spans="2:12" x14ac:dyDescent="0.15">
      <c r="I119" s="75" t="s">
        <v>382</v>
      </c>
      <c r="J119" s="76">
        <v>15</v>
      </c>
      <c r="K119" s="76">
        <v>7</v>
      </c>
    </row>
    <row r="120" spans="2:12" x14ac:dyDescent="0.15">
      <c r="I120" s="68" t="s">
        <v>234</v>
      </c>
      <c r="J120" s="69"/>
      <c r="K120" s="69"/>
      <c r="L120" s="1" t="s">
        <v>383</v>
      </c>
    </row>
    <row r="121" spans="2:12" x14ac:dyDescent="0.15">
      <c r="I121" s="68" t="s">
        <v>384</v>
      </c>
      <c r="J121" s="69"/>
      <c r="K121" s="69"/>
      <c r="L121" s="1" t="s">
        <v>383</v>
      </c>
    </row>
    <row r="122" spans="2:12" x14ac:dyDescent="0.15">
      <c r="I122" s="68" t="s">
        <v>263</v>
      </c>
      <c r="J122" s="69"/>
      <c r="K122" s="69"/>
      <c r="L122" s="1" t="s">
        <v>383</v>
      </c>
    </row>
    <row r="123" spans="2:12" x14ac:dyDescent="0.15">
      <c r="I123" s="68" t="s">
        <v>270</v>
      </c>
      <c r="J123" s="69"/>
      <c r="K123" s="69"/>
      <c r="L123" s="1" t="s">
        <v>383</v>
      </c>
    </row>
    <row r="124" spans="2:12" x14ac:dyDescent="0.15">
      <c r="I124" s="68" t="s">
        <v>276</v>
      </c>
      <c r="J124" s="69"/>
      <c r="K124" s="69"/>
      <c r="L124" s="1" t="s">
        <v>383</v>
      </c>
    </row>
    <row r="126" spans="2:12" x14ac:dyDescent="0.15">
      <c r="B126" s="1" t="s">
        <v>385</v>
      </c>
    </row>
    <row r="127" spans="2:12" x14ac:dyDescent="0.15">
      <c r="B127" s="61" t="s">
        <v>0</v>
      </c>
      <c r="C127" s="61" t="s">
        <v>1</v>
      </c>
      <c r="D127" s="61" t="s">
        <v>2</v>
      </c>
      <c r="E127" s="61" t="s">
        <v>3</v>
      </c>
      <c r="F127" s="61" t="s">
        <v>4</v>
      </c>
      <c r="G127" s="61" t="s">
        <v>5</v>
      </c>
    </row>
    <row r="128" spans="2:12" x14ac:dyDescent="0.15">
      <c r="B128" s="52" t="s">
        <v>6</v>
      </c>
      <c r="C128" s="53">
        <v>1</v>
      </c>
      <c r="D128" s="54" t="s">
        <v>284</v>
      </c>
      <c r="E128" s="54" t="s">
        <v>285</v>
      </c>
      <c r="F128" s="54" t="s">
        <v>9</v>
      </c>
      <c r="G128" s="54">
        <v>3</v>
      </c>
      <c r="I128" s="63" t="s">
        <v>108</v>
      </c>
      <c r="J128" s="50">
        <v>3</v>
      </c>
      <c r="K128" s="50">
        <v>1</v>
      </c>
    </row>
    <row r="129" spans="2:11" x14ac:dyDescent="0.15">
      <c r="B129" s="55" t="s">
        <v>6</v>
      </c>
      <c r="C129" s="56">
        <v>2</v>
      </c>
      <c r="D129" s="57" t="s">
        <v>286</v>
      </c>
      <c r="E129" s="57" t="s">
        <v>110</v>
      </c>
      <c r="F129" s="57" t="s">
        <v>9</v>
      </c>
      <c r="G129" s="57">
        <v>3</v>
      </c>
      <c r="I129" s="63" t="s">
        <v>110</v>
      </c>
      <c r="J129" s="50">
        <v>3</v>
      </c>
      <c r="K129" s="50">
        <v>1</v>
      </c>
    </row>
    <row r="130" spans="2:11" x14ac:dyDescent="0.15">
      <c r="B130" s="55" t="s">
        <v>6</v>
      </c>
      <c r="C130" s="56">
        <v>3</v>
      </c>
      <c r="D130" s="57" t="s">
        <v>287</v>
      </c>
      <c r="E130" s="57" t="s">
        <v>288</v>
      </c>
      <c r="F130" s="57" t="s">
        <v>9</v>
      </c>
      <c r="G130" s="57">
        <v>2</v>
      </c>
      <c r="I130" s="73" t="s">
        <v>374</v>
      </c>
      <c r="J130" s="74">
        <v>2</v>
      </c>
      <c r="K130" s="74">
        <v>1</v>
      </c>
    </row>
    <row r="131" spans="2:11" x14ac:dyDescent="0.15">
      <c r="B131" s="55" t="s">
        <v>6</v>
      </c>
      <c r="C131" s="56">
        <v>4</v>
      </c>
      <c r="D131" s="57" t="s">
        <v>289</v>
      </c>
      <c r="E131" s="57" t="s">
        <v>290</v>
      </c>
      <c r="F131" s="57" t="s">
        <v>9</v>
      </c>
      <c r="G131" s="57">
        <v>2</v>
      </c>
      <c r="I131" s="63" t="s">
        <v>107</v>
      </c>
      <c r="J131" s="50">
        <v>3</v>
      </c>
      <c r="K131" s="50">
        <v>1</v>
      </c>
    </row>
    <row r="132" spans="2:11" x14ac:dyDescent="0.15">
      <c r="B132" s="55" t="s">
        <v>6</v>
      </c>
      <c r="C132" s="56">
        <v>5</v>
      </c>
      <c r="D132" s="57" t="s">
        <v>291</v>
      </c>
      <c r="E132" s="57" t="s">
        <v>292</v>
      </c>
      <c r="F132" s="57" t="s">
        <v>9</v>
      </c>
      <c r="G132" s="57">
        <v>2</v>
      </c>
      <c r="I132" s="63" t="s">
        <v>107</v>
      </c>
      <c r="J132" s="50">
        <v>0</v>
      </c>
      <c r="K132" s="50">
        <v>1</v>
      </c>
    </row>
    <row r="133" spans="2:11" x14ac:dyDescent="0.15">
      <c r="B133" s="55" t="s">
        <v>6</v>
      </c>
      <c r="C133" s="56">
        <v>6</v>
      </c>
      <c r="D133" s="57" t="s">
        <v>293</v>
      </c>
      <c r="E133" s="57" t="s">
        <v>111</v>
      </c>
      <c r="F133" s="57" t="s">
        <v>14</v>
      </c>
      <c r="G133" s="57">
        <v>3</v>
      </c>
      <c r="I133" s="63" t="s">
        <v>375</v>
      </c>
      <c r="J133" s="50">
        <v>3</v>
      </c>
      <c r="K133" s="50">
        <v>1</v>
      </c>
    </row>
    <row r="134" spans="2:11" x14ac:dyDescent="0.15">
      <c r="B134" s="55" t="s">
        <v>6</v>
      </c>
      <c r="C134" s="56">
        <v>7</v>
      </c>
      <c r="D134" s="57" t="s">
        <v>294</v>
      </c>
      <c r="E134" s="57" t="s">
        <v>295</v>
      </c>
      <c r="F134" s="57" t="s">
        <v>24</v>
      </c>
      <c r="G134" s="57">
        <v>2</v>
      </c>
      <c r="I134" s="63" t="s">
        <v>146</v>
      </c>
      <c r="J134" s="50">
        <v>2</v>
      </c>
      <c r="K134" s="50">
        <v>7</v>
      </c>
    </row>
    <row r="135" spans="2:11" x14ac:dyDescent="0.15">
      <c r="B135" s="58" t="s">
        <v>21</v>
      </c>
      <c r="C135" s="59">
        <v>1</v>
      </c>
      <c r="D135" s="60" t="s">
        <v>296</v>
      </c>
      <c r="E135" s="60" t="s">
        <v>119</v>
      </c>
      <c r="F135" s="60" t="s">
        <v>24</v>
      </c>
      <c r="G135" s="60">
        <v>2</v>
      </c>
      <c r="I135" s="71" t="s">
        <v>119</v>
      </c>
      <c r="J135" s="72">
        <v>3</v>
      </c>
      <c r="K135" s="72">
        <v>2</v>
      </c>
    </row>
    <row r="136" spans="2:11" x14ac:dyDescent="0.15">
      <c r="B136" s="58" t="s">
        <v>21</v>
      </c>
      <c r="C136" s="59">
        <v>2</v>
      </c>
      <c r="D136" s="60" t="s">
        <v>297</v>
      </c>
      <c r="E136" s="60" t="s">
        <v>116</v>
      </c>
      <c r="F136" s="60" t="s">
        <v>9</v>
      </c>
      <c r="G136" s="60">
        <v>3</v>
      </c>
      <c r="I136" s="71" t="s">
        <v>116</v>
      </c>
      <c r="J136" s="72">
        <v>3</v>
      </c>
      <c r="K136" s="72">
        <v>2</v>
      </c>
    </row>
    <row r="137" spans="2:11" x14ac:dyDescent="0.15">
      <c r="B137" s="58" t="s">
        <v>21</v>
      </c>
      <c r="C137" s="59">
        <v>3</v>
      </c>
      <c r="D137" s="60" t="s">
        <v>298</v>
      </c>
      <c r="E137" s="60" t="s">
        <v>299</v>
      </c>
      <c r="F137" s="60" t="s">
        <v>9</v>
      </c>
      <c r="G137" s="60">
        <v>3</v>
      </c>
      <c r="I137" s="73" t="s">
        <v>374</v>
      </c>
      <c r="J137" s="74">
        <v>3</v>
      </c>
      <c r="K137" s="74">
        <v>2</v>
      </c>
    </row>
    <row r="138" spans="2:11" x14ac:dyDescent="0.15">
      <c r="B138" s="58" t="s">
        <v>21</v>
      </c>
      <c r="C138" s="59">
        <v>4</v>
      </c>
      <c r="D138" s="60" t="s">
        <v>300</v>
      </c>
      <c r="E138" s="60" t="s">
        <v>301</v>
      </c>
      <c r="F138" s="60" t="s">
        <v>9</v>
      </c>
      <c r="G138" s="60">
        <v>3</v>
      </c>
      <c r="I138" s="71" t="s">
        <v>105</v>
      </c>
      <c r="J138" s="72">
        <v>3</v>
      </c>
      <c r="K138" s="72">
        <v>1</v>
      </c>
    </row>
    <row r="139" spans="2:11" x14ac:dyDescent="0.15">
      <c r="B139" s="58" t="s">
        <v>21</v>
      </c>
      <c r="C139" s="59">
        <v>5</v>
      </c>
      <c r="D139" s="60" t="s">
        <v>302</v>
      </c>
      <c r="E139" s="60" t="s">
        <v>112</v>
      </c>
      <c r="F139" s="60" t="s">
        <v>9</v>
      </c>
      <c r="G139" s="60">
        <v>2</v>
      </c>
      <c r="I139" s="71" t="s">
        <v>112</v>
      </c>
      <c r="J139" s="72">
        <v>2</v>
      </c>
      <c r="K139" s="72">
        <v>1</v>
      </c>
    </row>
    <row r="140" spans="2:11" x14ac:dyDescent="0.15">
      <c r="B140" s="58" t="s">
        <v>21</v>
      </c>
      <c r="C140" s="59">
        <v>6</v>
      </c>
      <c r="D140" s="60" t="s">
        <v>303</v>
      </c>
      <c r="E140" s="60" t="s">
        <v>304</v>
      </c>
      <c r="F140" s="60" t="s">
        <v>9</v>
      </c>
      <c r="G140" s="60">
        <v>3</v>
      </c>
      <c r="I140" s="73" t="s">
        <v>374</v>
      </c>
      <c r="J140" s="74">
        <v>3</v>
      </c>
      <c r="K140" s="74">
        <v>2</v>
      </c>
    </row>
    <row r="141" spans="2:11" x14ac:dyDescent="0.15">
      <c r="B141" s="58" t="s">
        <v>21</v>
      </c>
      <c r="C141" s="59">
        <v>7</v>
      </c>
      <c r="D141" s="60" t="s">
        <v>305</v>
      </c>
      <c r="E141" s="60" t="s">
        <v>114</v>
      </c>
      <c r="F141" s="60" t="s">
        <v>14</v>
      </c>
      <c r="G141" s="60">
        <v>3</v>
      </c>
      <c r="I141" s="71" t="s">
        <v>114</v>
      </c>
      <c r="J141" s="72">
        <v>3</v>
      </c>
      <c r="K141" s="72">
        <v>2</v>
      </c>
    </row>
    <row r="142" spans="2:11" x14ac:dyDescent="0.15">
      <c r="B142" s="58" t="s">
        <v>21</v>
      </c>
      <c r="C142" s="59">
        <v>8</v>
      </c>
      <c r="D142" s="60" t="s">
        <v>306</v>
      </c>
      <c r="E142" s="60" t="s">
        <v>117</v>
      </c>
      <c r="F142" s="60" t="s">
        <v>14</v>
      </c>
      <c r="G142" s="60">
        <v>1</v>
      </c>
      <c r="I142" s="71" t="s">
        <v>117</v>
      </c>
      <c r="J142" s="72">
        <v>1</v>
      </c>
      <c r="K142" s="72">
        <v>2</v>
      </c>
    </row>
    <row r="143" spans="2:11" x14ac:dyDescent="0.15">
      <c r="B143" s="2" t="s">
        <v>38</v>
      </c>
      <c r="C143" s="4">
        <v>1</v>
      </c>
      <c r="D143" s="2" t="s">
        <v>307</v>
      </c>
      <c r="E143" s="2" t="s">
        <v>126</v>
      </c>
      <c r="F143" s="2" t="s">
        <v>9</v>
      </c>
      <c r="G143" s="2">
        <v>3</v>
      </c>
      <c r="I143" s="63" t="s">
        <v>126</v>
      </c>
      <c r="J143" s="50">
        <v>3</v>
      </c>
      <c r="K143" s="50">
        <v>3</v>
      </c>
    </row>
    <row r="144" spans="2:11" x14ac:dyDescent="0.15">
      <c r="B144" s="2" t="s">
        <v>38</v>
      </c>
      <c r="C144" s="4">
        <v>2</v>
      </c>
      <c r="D144" s="2" t="s">
        <v>308</v>
      </c>
      <c r="E144" s="2" t="s">
        <v>124</v>
      </c>
      <c r="F144" s="2" t="s">
        <v>14</v>
      </c>
      <c r="G144" s="2">
        <v>3</v>
      </c>
      <c r="I144" s="63" t="s">
        <v>124</v>
      </c>
      <c r="J144" s="50">
        <v>3</v>
      </c>
      <c r="K144" s="50">
        <v>3</v>
      </c>
    </row>
    <row r="145" spans="2:11" x14ac:dyDescent="0.15">
      <c r="B145" s="2" t="s">
        <v>38</v>
      </c>
      <c r="C145" s="4">
        <v>3</v>
      </c>
      <c r="D145" s="2" t="s">
        <v>309</v>
      </c>
      <c r="E145" s="2" t="s">
        <v>118</v>
      </c>
      <c r="F145" s="2" t="s">
        <v>9</v>
      </c>
      <c r="G145" s="2">
        <v>2</v>
      </c>
      <c r="I145" s="63" t="s">
        <v>118</v>
      </c>
      <c r="J145" s="50">
        <v>2</v>
      </c>
      <c r="K145" s="50">
        <v>2</v>
      </c>
    </row>
    <row r="146" spans="2:11" x14ac:dyDescent="0.15">
      <c r="B146" s="2" t="s">
        <v>38</v>
      </c>
      <c r="C146" s="4">
        <v>4</v>
      </c>
      <c r="D146" s="2" t="s">
        <v>310</v>
      </c>
      <c r="E146" s="2" t="s">
        <v>127</v>
      </c>
      <c r="F146" s="2" t="s">
        <v>14</v>
      </c>
      <c r="G146" s="2">
        <v>1</v>
      </c>
      <c r="I146" s="63" t="s">
        <v>127</v>
      </c>
      <c r="J146" s="50">
        <v>1</v>
      </c>
      <c r="K146" s="50">
        <v>3</v>
      </c>
    </row>
    <row r="147" spans="2:11" x14ac:dyDescent="0.15">
      <c r="B147" s="2" t="s">
        <v>38</v>
      </c>
      <c r="C147" s="4">
        <v>5</v>
      </c>
      <c r="D147" s="2" t="s">
        <v>311</v>
      </c>
      <c r="E147" s="2" t="s">
        <v>121</v>
      </c>
      <c r="F147" s="2" t="s">
        <v>14</v>
      </c>
      <c r="G147" s="2">
        <v>3</v>
      </c>
      <c r="I147" s="63" t="s">
        <v>121</v>
      </c>
      <c r="J147" s="50">
        <v>3</v>
      </c>
      <c r="K147" s="50">
        <v>3</v>
      </c>
    </row>
    <row r="148" spans="2:11" x14ac:dyDescent="0.15">
      <c r="B148" s="2" t="s">
        <v>38</v>
      </c>
      <c r="C148" s="4">
        <v>6</v>
      </c>
      <c r="D148" s="2" t="s">
        <v>312</v>
      </c>
      <c r="E148" s="2" t="s">
        <v>313</v>
      </c>
      <c r="F148" s="2" t="s">
        <v>14</v>
      </c>
      <c r="G148" s="2">
        <v>3</v>
      </c>
      <c r="I148" s="63" t="s">
        <v>135</v>
      </c>
      <c r="J148" s="50">
        <v>3</v>
      </c>
      <c r="K148" s="50">
        <v>4</v>
      </c>
    </row>
    <row r="149" spans="2:11" x14ac:dyDescent="0.15">
      <c r="B149" s="2" t="s">
        <v>38</v>
      </c>
      <c r="C149" s="4">
        <v>7</v>
      </c>
      <c r="D149" s="2" t="s">
        <v>314</v>
      </c>
      <c r="E149" s="2" t="s">
        <v>125</v>
      </c>
      <c r="F149" s="2" t="s">
        <v>14</v>
      </c>
      <c r="G149" s="2">
        <v>3</v>
      </c>
      <c r="I149" s="63" t="s">
        <v>125</v>
      </c>
      <c r="J149" s="50">
        <v>3</v>
      </c>
      <c r="K149" s="50">
        <v>3</v>
      </c>
    </row>
    <row r="150" spans="2:11" x14ac:dyDescent="0.15">
      <c r="B150" s="2" t="s">
        <v>38</v>
      </c>
      <c r="C150" s="4">
        <v>8</v>
      </c>
      <c r="D150" s="2" t="s">
        <v>315</v>
      </c>
      <c r="E150" s="2" t="s">
        <v>115</v>
      </c>
      <c r="F150" s="2" t="s">
        <v>14</v>
      </c>
      <c r="G150" s="2">
        <v>3</v>
      </c>
      <c r="I150" s="63" t="s">
        <v>115</v>
      </c>
      <c r="J150" s="50">
        <v>3</v>
      </c>
      <c r="K150" s="50">
        <v>2</v>
      </c>
    </row>
    <row r="151" spans="2:11" x14ac:dyDescent="0.15">
      <c r="B151" s="3" t="s">
        <v>55</v>
      </c>
      <c r="C151" s="5">
        <v>1</v>
      </c>
      <c r="D151" s="3" t="s">
        <v>316</v>
      </c>
      <c r="E151" s="3" t="s">
        <v>317</v>
      </c>
      <c r="F151" s="3" t="s">
        <v>14</v>
      </c>
      <c r="G151" s="3">
        <v>3</v>
      </c>
      <c r="I151" s="71" t="s">
        <v>138</v>
      </c>
      <c r="J151" s="72">
        <v>3</v>
      </c>
      <c r="K151" s="72">
        <v>5</v>
      </c>
    </row>
    <row r="152" spans="2:11" x14ac:dyDescent="0.15">
      <c r="B152" s="3" t="s">
        <v>55</v>
      </c>
      <c r="C152" s="5">
        <v>2</v>
      </c>
      <c r="D152" s="3" t="s">
        <v>318</v>
      </c>
      <c r="E152" s="3" t="s">
        <v>120</v>
      </c>
      <c r="F152" s="3" t="s">
        <v>14</v>
      </c>
      <c r="G152" s="3">
        <v>3</v>
      </c>
      <c r="I152" s="71" t="s">
        <v>120</v>
      </c>
      <c r="J152" s="72">
        <v>3</v>
      </c>
      <c r="K152" s="72">
        <v>2</v>
      </c>
    </row>
    <row r="153" spans="2:11" x14ac:dyDescent="0.15">
      <c r="B153" s="3" t="s">
        <v>55</v>
      </c>
      <c r="C153" s="5">
        <v>3</v>
      </c>
      <c r="D153" s="3" t="s">
        <v>319</v>
      </c>
      <c r="E153" s="3" t="s">
        <v>320</v>
      </c>
      <c r="F153" s="3" t="s">
        <v>14</v>
      </c>
      <c r="G153" s="3">
        <v>2</v>
      </c>
      <c r="I153" s="71" t="s">
        <v>109</v>
      </c>
      <c r="J153" s="72">
        <v>2</v>
      </c>
      <c r="K153" s="72">
        <v>1</v>
      </c>
    </row>
    <row r="154" spans="2:11" x14ac:dyDescent="0.15">
      <c r="B154" s="3" t="s">
        <v>55</v>
      </c>
      <c r="C154" s="5">
        <v>4</v>
      </c>
      <c r="D154" s="3" t="s">
        <v>321</v>
      </c>
      <c r="E154" s="3" t="s">
        <v>322</v>
      </c>
      <c r="F154" s="3" t="s">
        <v>14</v>
      </c>
      <c r="G154" s="3">
        <v>3</v>
      </c>
      <c r="I154" s="71" t="s">
        <v>123</v>
      </c>
      <c r="J154" s="72">
        <v>3</v>
      </c>
      <c r="K154" s="72">
        <v>3</v>
      </c>
    </row>
    <row r="155" spans="2:11" x14ac:dyDescent="0.15">
      <c r="B155" s="3" t="s">
        <v>55</v>
      </c>
      <c r="C155" s="5">
        <v>5</v>
      </c>
      <c r="D155" s="3" t="s">
        <v>323</v>
      </c>
      <c r="E155" s="3" t="s">
        <v>144</v>
      </c>
      <c r="F155" s="3" t="s">
        <v>14</v>
      </c>
      <c r="G155" s="3">
        <v>3</v>
      </c>
      <c r="I155" s="71" t="s">
        <v>144</v>
      </c>
      <c r="J155" s="72">
        <v>3</v>
      </c>
      <c r="K155" s="72">
        <v>5</v>
      </c>
    </row>
    <row r="156" spans="2:11" x14ac:dyDescent="0.15">
      <c r="B156" s="3" t="s">
        <v>55</v>
      </c>
      <c r="C156" s="5">
        <v>6</v>
      </c>
      <c r="D156" s="3" t="s">
        <v>324</v>
      </c>
      <c r="E156" s="3" t="s">
        <v>122</v>
      </c>
      <c r="F156" s="3" t="s">
        <v>14</v>
      </c>
      <c r="G156" s="3">
        <v>3</v>
      </c>
      <c r="I156" s="71" t="s">
        <v>122</v>
      </c>
      <c r="J156" s="72">
        <v>3</v>
      </c>
      <c r="K156" s="72">
        <v>3</v>
      </c>
    </row>
    <row r="157" spans="2:11" x14ac:dyDescent="0.15">
      <c r="B157" s="3" t="s">
        <v>55</v>
      </c>
      <c r="C157" s="5">
        <v>7</v>
      </c>
      <c r="D157" s="3" t="s">
        <v>325</v>
      </c>
      <c r="E157" s="3" t="s">
        <v>136</v>
      </c>
      <c r="F157" s="3" t="s">
        <v>14</v>
      </c>
      <c r="G157" s="3">
        <v>2</v>
      </c>
      <c r="I157" s="71" t="s">
        <v>136</v>
      </c>
      <c r="J157" s="72">
        <v>2</v>
      </c>
      <c r="K157" s="72">
        <v>4</v>
      </c>
    </row>
    <row r="158" spans="2:11" x14ac:dyDescent="0.15">
      <c r="B158" s="2" t="s">
        <v>71</v>
      </c>
      <c r="C158" s="4">
        <v>1</v>
      </c>
      <c r="D158" s="2" t="s">
        <v>326</v>
      </c>
      <c r="E158" s="2" t="s">
        <v>327</v>
      </c>
      <c r="F158" s="2" t="s">
        <v>14</v>
      </c>
      <c r="G158" s="2">
        <v>2</v>
      </c>
      <c r="I158" s="63" t="s">
        <v>327</v>
      </c>
      <c r="J158" s="50">
        <v>2</v>
      </c>
      <c r="K158" s="50">
        <v>5</v>
      </c>
    </row>
    <row r="159" spans="2:11" x14ac:dyDescent="0.15">
      <c r="B159" s="2" t="s">
        <v>71</v>
      </c>
      <c r="C159" s="4">
        <v>2</v>
      </c>
      <c r="D159" s="2" t="s">
        <v>328</v>
      </c>
      <c r="E159" s="2" t="s">
        <v>128</v>
      </c>
      <c r="F159" s="2" t="s">
        <v>14</v>
      </c>
      <c r="G159" s="2">
        <v>3</v>
      </c>
      <c r="I159" s="63" t="s">
        <v>128</v>
      </c>
      <c r="J159" s="50">
        <v>2</v>
      </c>
      <c r="K159" s="50">
        <v>3</v>
      </c>
    </row>
    <row r="160" spans="2:11" x14ac:dyDescent="0.15">
      <c r="B160" s="2" t="s">
        <v>71</v>
      </c>
      <c r="C160" s="4">
        <v>3</v>
      </c>
      <c r="D160" s="2" t="s">
        <v>329</v>
      </c>
      <c r="E160" s="2" t="s">
        <v>132</v>
      </c>
      <c r="F160" s="2" t="s">
        <v>14</v>
      </c>
      <c r="G160" s="2">
        <v>2</v>
      </c>
      <c r="I160" s="63" t="s">
        <v>132</v>
      </c>
      <c r="J160" s="50">
        <v>2</v>
      </c>
      <c r="K160" s="50">
        <v>4</v>
      </c>
    </row>
    <row r="161" spans="2:11" x14ac:dyDescent="0.15">
      <c r="B161" s="2" t="s">
        <v>71</v>
      </c>
      <c r="C161" s="4">
        <v>4</v>
      </c>
      <c r="D161" s="2" t="s">
        <v>330</v>
      </c>
      <c r="E161" s="2" t="s">
        <v>134</v>
      </c>
      <c r="F161" s="2" t="s">
        <v>14</v>
      </c>
      <c r="G161" s="2">
        <v>3</v>
      </c>
      <c r="I161" s="63" t="s">
        <v>134</v>
      </c>
      <c r="J161" s="50">
        <v>3</v>
      </c>
      <c r="K161" s="50">
        <v>4</v>
      </c>
    </row>
    <row r="162" spans="2:11" x14ac:dyDescent="0.15">
      <c r="B162" s="2" t="s">
        <v>71</v>
      </c>
      <c r="C162" s="4">
        <v>5</v>
      </c>
      <c r="D162" s="2" t="s">
        <v>331</v>
      </c>
      <c r="E162" s="2" t="s">
        <v>133</v>
      </c>
      <c r="F162" s="2" t="s">
        <v>14</v>
      </c>
      <c r="G162" s="2">
        <v>3</v>
      </c>
      <c r="I162" s="63" t="s">
        <v>133</v>
      </c>
      <c r="J162" s="50">
        <v>3</v>
      </c>
      <c r="K162" s="50">
        <v>4</v>
      </c>
    </row>
    <row r="163" spans="2:11" x14ac:dyDescent="0.15">
      <c r="B163" s="2" t="s">
        <v>71</v>
      </c>
      <c r="C163" s="4">
        <v>6</v>
      </c>
      <c r="D163" s="2" t="s">
        <v>332</v>
      </c>
      <c r="E163" s="2" t="s">
        <v>131</v>
      </c>
      <c r="F163" s="2" t="s">
        <v>14</v>
      </c>
      <c r="G163" s="2">
        <v>3</v>
      </c>
      <c r="I163" s="63" t="s">
        <v>131</v>
      </c>
      <c r="J163" s="50">
        <v>3</v>
      </c>
      <c r="K163" s="50">
        <v>4</v>
      </c>
    </row>
    <row r="164" spans="2:11" x14ac:dyDescent="0.15">
      <c r="B164" s="2" t="s">
        <v>71</v>
      </c>
      <c r="C164" s="4">
        <v>7</v>
      </c>
      <c r="D164" s="2" t="s">
        <v>333</v>
      </c>
      <c r="E164" s="2" t="s">
        <v>129</v>
      </c>
      <c r="F164" s="2" t="s">
        <v>14</v>
      </c>
      <c r="G164" s="2">
        <v>2</v>
      </c>
      <c r="I164" s="63" t="s">
        <v>129</v>
      </c>
      <c r="J164" s="50">
        <v>3</v>
      </c>
      <c r="K164" s="50">
        <v>4</v>
      </c>
    </row>
    <row r="165" spans="2:11" x14ac:dyDescent="0.15">
      <c r="B165" s="2" t="s">
        <v>71</v>
      </c>
      <c r="C165" s="4">
        <v>8</v>
      </c>
      <c r="D165" s="2" t="s">
        <v>334</v>
      </c>
      <c r="E165" s="2" t="s">
        <v>147</v>
      </c>
      <c r="F165" s="2" t="s">
        <v>14</v>
      </c>
      <c r="G165" s="2">
        <v>3</v>
      </c>
      <c r="I165" s="63" t="s">
        <v>381</v>
      </c>
      <c r="J165" s="50">
        <v>3</v>
      </c>
      <c r="K165" s="50">
        <v>7</v>
      </c>
    </row>
    <row r="166" spans="2:11" x14ac:dyDescent="0.15">
      <c r="B166" s="3" t="s">
        <v>85</v>
      </c>
      <c r="C166" s="5">
        <v>1</v>
      </c>
      <c r="D166" s="3" t="s">
        <v>335</v>
      </c>
      <c r="E166" s="3" t="s">
        <v>143</v>
      </c>
      <c r="F166" s="3" t="s">
        <v>14</v>
      </c>
      <c r="G166" s="3">
        <v>3</v>
      </c>
      <c r="I166" s="71" t="s">
        <v>143</v>
      </c>
      <c r="J166" s="72">
        <v>3</v>
      </c>
      <c r="K166" s="72">
        <v>5</v>
      </c>
    </row>
    <row r="167" spans="2:11" x14ac:dyDescent="0.15">
      <c r="B167" s="3" t="s">
        <v>85</v>
      </c>
      <c r="C167" s="5">
        <v>2</v>
      </c>
      <c r="D167" s="3" t="s">
        <v>336</v>
      </c>
      <c r="E167" s="3" t="s">
        <v>153</v>
      </c>
      <c r="F167" s="3" t="s">
        <v>14</v>
      </c>
      <c r="G167" s="3">
        <v>2</v>
      </c>
      <c r="I167" s="71" t="s">
        <v>153</v>
      </c>
      <c r="J167" s="72">
        <v>2</v>
      </c>
      <c r="K167" s="72">
        <v>7</v>
      </c>
    </row>
    <row r="168" spans="2:11" x14ac:dyDescent="0.15">
      <c r="B168" s="3" t="s">
        <v>85</v>
      </c>
      <c r="C168" s="5">
        <v>3</v>
      </c>
      <c r="D168" s="3" t="s">
        <v>337</v>
      </c>
      <c r="E168" s="3" t="s">
        <v>338</v>
      </c>
      <c r="F168" s="3" t="s">
        <v>14</v>
      </c>
      <c r="G168" s="3">
        <v>3</v>
      </c>
      <c r="I168" s="71" t="s">
        <v>139</v>
      </c>
      <c r="J168" s="72">
        <v>3</v>
      </c>
      <c r="K168" s="72">
        <v>5</v>
      </c>
    </row>
    <row r="169" spans="2:11" x14ac:dyDescent="0.15">
      <c r="B169" s="3" t="s">
        <v>85</v>
      </c>
      <c r="C169" s="5">
        <v>4</v>
      </c>
      <c r="D169" s="3" t="s">
        <v>339</v>
      </c>
      <c r="E169" s="3" t="s">
        <v>231</v>
      </c>
      <c r="F169" s="3" t="s">
        <v>14</v>
      </c>
      <c r="G169" s="3">
        <v>2</v>
      </c>
      <c r="I169" s="71" t="s">
        <v>231</v>
      </c>
      <c r="J169" s="72">
        <v>3</v>
      </c>
      <c r="K169" s="72">
        <v>6</v>
      </c>
    </row>
    <row r="170" spans="2:11" x14ac:dyDescent="0.15">
      <c r="B170" s="3" t="s">
        <v>85</v>
      </c>
      <c r="C170" s="5">
        <v>5</v>
      </c>
      <c r="D170" s="3" t="s">
        <v>340</v>
      </c>
      <c r="E170" s="3" t="s">
        <v>142</v>
      </c>
      <c r="F170" s="3" t="s">
        <v>24</v>
      </c>
      <c r="G170" s="3">
        <v>2</v>
      </c>
      <c r="I170" s="71" t="s">
        <v>142</v>
      </c>
      <c r="J170" s="72">
        <v>2</v>
      </c>
      <c r="K170" s="72">
        <v>5</v>
      </c>
    </row>
    <row r="171" spans="2:11" x14ac:dyDescent="0.15">
      <c r="B171" s="3" t="s">
        <v>85</v>
      </c>
      <c r="C171" s="5">
        <v>6</v>
      </c>
      <c r="D171" s="3" t="s">
        <v>341</v>
      </c>
      <c r="E171" s="3" t="s">
        <v>342</v>
      </c>
      <c r="F171" s="3" t="s">
        <v>24</v>
      </c>
      <c r="G171" s="3">
        <v>2</v>
      </c>
      <c r="I171" s="71" t="s">
        <v>137</v>
      </c>
      <c r="J171" s="72">
        <v>2</v>
      </c>
      <c r="K171" s="72">
        <v>5</v>
      </c>
    </row>
    <row r="172" spans="2:11" x14ac:dyDescent="0.15">
      <c r="B172" s="3" t="s">
        <v>85</v>
      </c>
      <c r="C172" s="5">
        <v>7</v>
      </c>
      <c r="D172" s="3" t="s">
        <v>343</v>
      </c>
      <c r="E172" s="3" t="s">
        <v>141</v>
      </c>
      <c r="F172" s="3" t="s">
        <v>24</v>
      </c>
      <c r="G172" s="3">
        <v>2</v>
      </c>
      <c r="I172" s="71" t="s">
        <v>141</v>
      </c>
      <c r="J172" s="72">
        <v>2</v>
      </c>
      <c r="K172" s="72">
        <v>5</v>
      </c>
    </row>
    <row r="173" spans="2:11" x14ac:dyDescent="0.15">
      <c r="B173" s="3" t="s">
        <v>85</v>
      </c>
      <c r="C173" s="5">
        <v>8</v>
      </c>
      <c r="D173" s="3" t="s">
        <v>344</v>
      </c>
      <c r="E173" s="3" t="s">
        <v>113</v>
      </c>
      <c r="F173" s="3" t="s">
        <v>24</v>
      </c>
      <c r="G173" s="3">
        <v>2</v>
      </c>
      <c r="I173" s="71" t="s">
        <v>113</v>
      </c>
      <c r="J173" s="72">
        <v>2</v>
      </c>
      <c r="K173" s="72">
        <v>2</v>
      </c>
    </row>
    <row r="174" spans="2:11" x14ac:dyDescent="0.15">
      <c r="B174" s="2" t="s">
        <v>87</v>
      </c>
      <c r="C174" s="4">
        <v>1</v>
      </c>
      <c r="D174" s="2" t="s">
        <v>345</v>
      </c>
      <c r="E174" s="2" t="s">
        <v>150</v>
      </c>
      <c r="F174" s="2" t="s">
        <v>24</v>
      </c>
      <c r="G174" s="2">
        <v>4</v>
      </c>
      <c r="I174" s="66" t="s">
        <v>150</v>
      </c>
      <c r="J174" s="67">
        <v>4</v>
      </c>
      <c r="K174" s="67">
        <v>7</v>
      </c>
    </row>
    <row r="175" spans="2:11" x14ac:dyDescent="0.15">
      <c r="B175" s="2" t="s">
        <v>87</v>
      </c>
      <c r="C175" s="4">
        <v>2</v>
      </c>
      <c r="D175" s="2" t="s">
        <v>346</v>
      </c>
      <c r="E175" s="2" t="s">
        <v>149</v>
      </c>
      <c r="F175" s="2" t="s">
        <v>24</v>
      </c>
      <c r="G175" s="2">
        <v>2</v>
      </c>
      <c r="I175" s="63" t="s">
        <v>149</v>
      </c>
      <c r="J175" s="50">
        <v>2</v>
      </c>
      <c r="K175" s="50">
        <v>7</v>
      </c>
    </row>
    <row r="176" spans="2:11" x14ac:dyDescent="0.15">
      <c r="B176" s="2" t="s">
        <v>87</v>
      </c>
      <c r="C176" s="4">
        <v>3</v>
      </c>
      <c r="D176" s="2" t="s">
        <v>347</v>
      </c>
      <c r="E176" s="2" t="s">
        <v>151</v>
      </c>
      <c r="F176" s="2" t="s">
        <v>24</v>
      </c>
      <c r="G176" s="2">
        <v>2</v>
      </c>
      <c r="I176" s="63" t="s">
        <v>151</v>
      </c>
      <c r="J176" s="50">
        <v>2</v>
      </c>
      <c r="K176" s="50">
        <v>7</v>
      </c>
    </row>
    <row r="177" spans="2:11" x14ac:dyDescent="0.15">
      <c r="B177" s="2" t="s">
        <v>87</v>
      </c>
      <c r="C177" s="4">
        <v>4</v>
      </c>
      <c r="D177" s="2" t="s">
        <v>348</v>
      </c>
      <c r="E177" s="2" t="s">
        <v>148</v>
      </c>
      <c r="F177" s="2" t="s">
        <v>24</v>
      </c>
      <c r="G177" s="2">
        <v>2</v>
      </c>
      <c r="I177" s="63" t="s">
        <v>148</v>
      </c>
      <c r="J177" s="50">
        <v>2</v>
      </c>
      <c r="K177" s="50">
        <v>7</v>
      </c>
    </row>
    <row r="178" spans="2:11" x14ac:dyDescent="0.15">
      <c r="B178" s="2" t="s">
        <v>87</v>
      </c>
      <c r="C178" s="4">
        <v>5</v>
      </c>
      <c r="D178" s="2" t="s">
        <v>349</v>
      </c>
      <c r="E178" s="2" t="s">
        <v>154</v>
      </c>
      <c r="F178" s="2" t="s">
        <v>14</v>
      </c>
      <c r="G178" s="2">
        <v>2</v>
      </c>
      <c r="I178" s="63" t="s">
        <v>154</v>
      </c>
      <c r="J178" s="50">
        <v>2</v>
      </c>
      <c r="K178" s="50">
        <v>8</v>
      </c>
    </row>
    <row r="179" spans="2:11" x14ac:dyDescent="0.15">
      <c r="B179" s="2" t="s">
        <v>87</v>
      </c>
      <c r="C179" s="4">
        <v>6</v>
      </c>
      <c r="D179" s="2" t="s">
        <v>350</v>
      </c>
      <c r="E179" s="2" t="s">
        <v>351</v>
      </c>
      <c r="F179" s="2" t="s">
        <v>14</v>
      </c>
      <c r="G179" s="2">
        <v>9</v>
      </c>
      <c r="I179" s="66" t="s">
        <v>145</v>
      </c>
      <c r="J179" s="67">
        <v>9</v>
      </c>
      <c r="K179" s="67">
        <v>6</v>
      </c>
    </row>
    <row r="180" spans="2:11" x14ac:dyDescent="0.15">
      <c r="B180" s="3" t="s">
        <v>100</v>
      </c>
      <c r="C180" s="5">
        <v>1</v>
      </c>
      <c r="D180" s="3" t="s">
        <v>352</v>
      </c>
      <c r="E180" s="3" t="s">
        <v>155</v>
      </c>
      <c r="F180" s="3" t="s">
        <v>24</v>
      </c>
      <c r="G180" s="3">
        <v>2</v>
      </c>
      <c r="I180" s="71" t="s">
        <v>155</v>
      </c>
      <c r="J180" s="72">
        <v>2</v>
      </c>
      <c r="K180" s="72">
        <v>8</v>
      </c>
    </row>
    <row r="181" spans="2:11" x14ac:dyDescent="0.15">
      <c r="B181" s="3" t="s">
        <v>100</v>
      </c>
      <c r="C181" s="5">
        <v>2</v>
      </c>
      <c r="D181" s="3" t="s">
        <v>353</v>
      </c>
      <c r="E181" s="3" t="s">
        <v>354</v>
      </c>
      <c r="F181" s="3" t="s">
        <v>14</v>
      </c>
      <c r="G181" s="3">
        <v>4</v>
      </c>
      <c r="I181" s="71" t="s">
        <v>152</v>
      </c>
      <c r="J181" s="72">
        <v>3</v>
      </c>
      <c r="K181" s="72">
        <v>7</v>
      </c>
    </row>
    <row r="182" spans="2:11" x14ac:dyDescent="0.15">
      <c r="B182" s="3" t="s">
        <v>100</v>
      </c>
      <c r="C182" s="5">
        <v>3</v>
      </c>
      <c r="D182" s="3" t="s">
        <v>355</v>
      </c>
      <c r="E182" s="3" t="s">
        <v>356</v>
      </c>
      <c r="F182" s="3" t="s">
        <v>14</v>
      </c>
      <c r="G182" s="3">
        <v>6</v>
      </c>
      <c r="I182" s="71" t="s">
        <v>145</v>
      </c>
      <c r="J182" s="72">
        <v>11</v>
      </c>
      <c r="K182" s="72">
        <v>6</v>
      </c>
    </row>
  </sheetData>
  <mergeCells count="1">
    <mergeCell ref="B2:G2"/>
  </mergeCell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Sudah diambil</vt:lpstr>
      <vt:lpstr>Kebutuhan Mhs</vt:lpstr>
      <vt:lpstr>Aturan Peralihan</vt:lpstr>
      <vt:lpstr>Data Tambahan</vt:lpstr>
      <vt:lpstr>kuliah_2026.xlsx</vt:lpstr>
      <vt:lpstr>2021 vs 2026</vt:lpstr>
      <vt:lpstr>Capaian Per-Angkatan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AHMAD NASIKUN</cp:lastModifiedBy>
  <dcterms:created xsi:type="dcterms:W3CDTF">2026-06-01T14:41:14Z</dcterms:created>
  <dcterms:modified xsi:type="dcterms:W3CDTF">2026-07-11T04:08:40Z</dcterms:modified>
</cp:coreProperties>
</file>